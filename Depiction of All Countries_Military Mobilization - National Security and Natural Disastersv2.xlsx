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6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7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8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9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0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20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1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2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2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4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2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5.xml" ContentType="application/vnd.openxmlformats-officedocument.drawing+xml"/>
  <Override PartName="/xl/tables/table21.xml" ContentType="application/vnd.openxmlformats-officedocument.spreadsheetml.table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176bd772171fdbb/Documents/UH/THESIS/Antigravity/APP Making/Final App Making/"/>
    </mc:Choice>
  </mc:AlternateContent>
  <xr:revisionPtr revIDLastSave="22" documentId="8_{5DF5CABC-88BE-4B44-8766-D12C5A7A3CE4}" xr6:coauthVersionLast="47" xr6:coauthVersionMax="47" xr10:uidLastSave="{B0D001A8-DD98-4D8E-9217-3403D4AFC8A7}"/>
  <bookViews>
    <workbookView xWindow="-108" yWindow="-108" windowWidth="23256" windowHeight="13896" tabRatio="878" firstSheet="14" activeTab="20" xr2:uid="{00000000-000D-0000-FFFF-FFFF00000000}"/>
  </bookViews>
  <sheets>
    <sheet name="Admin" sheetId="1" r:id="rId1"/>
    <sheet name="Titles" sheetId="4" r:id="rId2"/>
    <sheet name="Country Representation" sheetId="5" r:id="rId3"/>
    <sheet name="Line of Work" sheetId="13" r:id="rId4"/>
    <sheet name="Question 6" sheetId="6" state="hidden" r:id="rId5"/>
    <sheet name="Q1" sheetId="2" r:id="rId6"/>
    <sheet name="Q2" sheetId="11" r:id="rId7"/>
    <sheet name="Q3" sheetId="12" r:id="rId8"/>
    <sheet name="Question 3" sheetId="3" state="hidden" r:id="rId9"/>
    <sheet name="Question 7" sheetId="7" state="hidden" r:id="rId10"/>
    <sheet name="Q4" sheetId="14" r:id="rId11"/>
    <sheet name="Question 8" sheetId="8" state="hidden" r:id="rId12"/>
    <sheet name="Q5" sheetId="15" r:id="rId13"/>
    <sheet name="Question 9" sheetId="9" state="hidden" r:id="rId14"/>
    <sheet name="Q6" sheetId="16" r:id="rId15"/>
    <sheet name="Global Plot_Median" sheetId="22" r:id="rId16"/>
    <sheet name="Africa Scatter_Median" sheetId="24" r:id="rId17"/>
    <sheet name="Global Plot_Avg" sheetId="23" state="hidden" r:id="rId18"/>
    <sheet name="Africa Scatter_Avg" sheetId="19" state="hidden" r:id="rId19"/>
    <sheet name="Asia Scatter_Avg" sheetId="20" state="hidden" r:id="rId20"/>
    <sheet name="Asia Scatter_Median" sheetId="25" r:id="rId21"/>
    <sheet name="North America Scatter_Median" sheetId="26" r:id="rId22"/>
    <sheet name="South America Scatter_Median" sheetId="27" r:id="rId23"/>
    <sheet name="Europe Scatter_Median" sheetId="28" r:id="rId24"/>
    <sheet name="Pacific Scatter_Median" sheetId="29" r:id="rId25"/>
    <sheet name="Gradient" sheetId="18" r:id="rId26"/>
    <sheet name="Question 10" sheetId="10" state="hidden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22" l="1"/>
  <c r="P12" i="22"/>
  <c r="P11" i="22"/>
  <c r="P10" i="22"/>
  <c r="P9" i="22"/>
  <c r="P8" i="22"/>
  <c r="P7" i="22"/>
  <c r="P6" i="22"/>
  <c r="P5" i="22"/>
  <c r="N15" i="22" l="1"/>
  <c r="N10" i="22"/>
  <c r="P12" i="29"/>
  <c r="P11" i="29"/>
  <c r="P10" i="29"/>
  <c r="W10" i="29" s="1"/>
  <c r="P9" i="29"/>
  <c r="P8" i="29"/>
  <c r="P7" i="29"/>
  <c r="N23" i="29" s="1"/>
  <c r="P6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N25" i="29"/>
  <c r="N24" i="29"/>
  <c r="N21" i="29"/>
  <c r="N20" i="29"/>
  <c r="W12" i="29"/>
  <c r="V12" i="29"/>
  <c r="U12" i="29"/>
  <c r="T12" i="29"/>
  <c r="S12" i="29"/>
  <c r="R12" i="29"/>
  <c r="W11" i="29"/>
  <c r="V11" i="29"/>
  <c r="U11" i="29"/>
  <c r="T11" i="29"/>
  <c r="S11" i="29"/>
  <c r="R11" i="29"/>
  <c r="N11" i="29"/>
  <c r="N17" i="29"/>
  <c r="N15" i="29"/>
  <c r="V6" i="29"/>
  <c r="W5" i="29"/>
  <c r="V5" i="29"/>
  <c r="U5" i="29"/>
  <c r="P12" i="28"/>
  <c r="W12" i="28" s="1"/>
  <c r="P10" i="28"/>
  <c r="P9" i="28"/>
  <c r="W9" i="28" s="1"/>
  <c r="P8" i="28"/>
  <c r="P7" i="28"/>
  <c r="P6" i="28"/>
  <c r="P5" i="28"/>
  <c r="N11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N23" i="28"/>
  <c r="N22" i="28"/>
  <c r="N21" i="28"/>
  <c r="N20" i="28"/>
  <c r="N19" i="28"/>
  <c r="N18" i="28"/>
  <c r="N12" i="28"/>
  <c r="W11" i="28"/>
  <c r="V11" i="28"/>
  <c r="U11" i="28"/>
  <c r="T11" i="28"/>
  <c r="W10" i="28"/>
  <c r="N15" i="28"/>
  <c r="W7" i="28"/>
  <c r="V7" i="28"/>
  <c r="U7" i="28"/>
  <c r="T7" i="28"/>
  <c r="S7" i="28"/>
  <c r="R7" i="28"/>
  <c r="W6" i="28"/>
  <c r="P12" i="27"/>
  <c r="R26" i="27"/>
  <c r="P11" i="27"/>
  <c r="P10" i="27"/>
  <c r="P9" i="27"/>
  <c r="P8" i="27"/>
  <c r="R25" i="27"/>
  <c r="P6" i="27"/>
  <c r="P5" i="27"/>
  <c r="T10" i="27"/>
  <c r="N23" i="27"/>
  <c r="O37" i="27"/>
  <c r="O36" i="27"/>
  <c r="O35" i="27"/>
  <c r="O34" i="27"/>
  <c r="O33" i="27"/>
  <c r="O32" i="27"/>
  <c r="O31" i="27"/>
  <c r="O30" i="27"/>
  <c r="O29" i="27"/>
  <c r="O28" i="27"/>
  <c r="O27" i="27"/>
  <c r="O26" i="27"/>
  <c r="N25" i="27"/>
  <c r="N24" i="27"/>
  <c r="N18" i="27"/>
  <c r="W12" i="27"/>
  <c r="V12" i="27"/>
  <c r="U12" i="27"/>
  <c r="T12" i="27"/>
  <c r="S12" i="27"/>
  <c r="R12" i="27"/>
  <c r="U11" i="27"/>
  <c r="N11" i="27"/>
  <c r="W10" i="27"/>
  <c r="V10" i="27"/>
  <c r="U10" i="27"/>
  <c r="S10" i="27"/>
  <c r="R10" i="27"/>
  <c r="N19" i="27"/>
  <c r="T9" i="27"/>
  <c r="N15" i="27"/>
  <c r="N22" i="27"/>
  <c r="W6" i="27"/>
  <c r="W5" i="27"/>
  <c r="V5" i="27"/>
  <c r="U5" i="27"/>
  <c r="P12" i="26"/>
  <c r="P11" i="26"/>
  <c r="P10" i="26"/>
  <c r="P9" i="26"/>
  <c r="P8" i="26"/>
  <c r="T8" i="26" s="1"/>
  <c r="P7" i="26"/>
  <c r="P6" i="26"/>
  <c r="R25" i="26"/>
  <c r="P5" i="26"/>
  <c r="W10" i="26"/>
  <c r="N23" i="26"/>
  <c r="W5" i="26"/>
  <c r="O37" i="26"/>
  <c r="O36" i="26"/>
  <c r="O35" i="26"/>
  <c r="O34" i="26"/>
  <c r="O33" i="26"/>
  <c r="O32" i="26"/>
  <c r="O31" i="26"/>
  <c r="O30" i="26"/>
  <c r="O29" i="26"/>
  <c r="O28" i="26"/>
  <c r="O27" i="26"/>
  <c r="O26" i="26"/>
  <c r="N25" i="26"/>
  <c r="N24" i="26"/>
  <c r="N19" i="26"/>
  <c r="N18" i="26"/>
  <c r="N15" i="26"/>
  <c r="N14" i="26"/>
  <c r="W12" i="26"/>
  <c r="V12" i="26"/>
  <c r="U12" i="26"/>
  <c r="T12" i="26"/>
  <c r="S12" i="26"/>
  <c r="R12" i="26"/>
  <c r="V11" i="26"/>
  <c r="N11" i="26"/>
  <c r="V10" i="26"/>
  <c r="U10" i="26"/>
  <c r="T10" i="26"/>
  <c r="S10" i="26"/>
  <c r="R10" i="26"/>
  <c r="V9" i="26"/>
  <c r="W8" i="26"/>
  <c r="V8" i="26"/>
  <c r="U8" i="26"/>
  <c r="R8" i="26"/>
  <c r="W7" i="26"/>
  <c r="V7" i="26"/>
  <c r="U7" i="26"/>
  <c r="T7" i="26"/>
  <c r="S7" i="26"/>
  <c r="R7" i="26"/>
  <c r="W6" i="26"/>
  <c r="V5" i="26"/>
  <c r="P12" i="25"/>
  <c r="P11" i="25"/>
  <c r="P10" i="25"/>
  <c r="P9" i="25"/>
  <c r="N16" i="25" s="1"/>
  <c r="P8" i="25"/>
  <c r="N14" i="25" s="1"/>
  <c r="Q14" i="25"/>
  <c r="U7" i="25"/>
  <c r="P6" i="25"/>
  <c r="R25" i="25"/>
  <c r="P5" i="25"/>
  <c r="O37" i="25"/>
  <c r="O36" i="25"/>
  <c r="O35" i="25"/>
  <c r="O34" i="25"/>
  <c r="O33" i="25"/>
  <c r="O32" i="25"/>
  <c r="O31" i="25"/>
  <c r="O30" i="25"/>
  <c r="O29" i="25"/>
  <c r="O28" i="25"/>
  <c r="O27" i="25"/>
  <c r="O26" i="25"/>
  <c r="N25" i="25"/>
  <c r="N24" i="25"/>
  <c r="N23" i="25"/>
  <c r="N22" i="25"/>
  <c r="N21" i="25"/>
  <c r="N20" i="25"/>
  <c r="N19" i="25"/>
  <c r="N18" i="25"/>
  <c r="N17" i="25"/>
  <c r="N15" i="25"/>
  <c r="N13" i="25"/>
  <c r="N12" i="25"/>
  <c r="N11" i="25"/>
  <c r="N10" i="25"/>
  <c r="W12" i="25"/>
  <c r="V11" i="25"/>
  <c r="T10" i="25"/>
  <c r="S10" i="25"/>
  <c r="W10" i="25"/>
  <c r="W9" i="25"/>
  <c r="W8" i="25"/>
  <c r="V8" i="25"/>
  <c r="S8" i="25"/>
  <c r="R8" i="25"/>
  <c r="W7" i="25"/>
  <c r="V7" i="25"/>
  <c r="T7" i="25"/>
  <c r="S7" i="25"/>
  <c r="R7" i="25"/>
  <c r="W6" i="25"/>
  <c r="V6" i="25"/>
  <c r="U6" i="25"/>
  <c r="T6" i="25"/>
  <c r="S6" i="25"/>
  <c r="R6" i="25"/>
  <c r="V5" i="25"/>
  <c r="P10" i="24"/>
  <c r="W10" i="24" s="1"/>
  <c r="P6" i="24"/>
  <c r="V6" i="24" s="1"/>
  <c r="P8" i="24"/>
  <c r="R29" i="24"/>
  <c r="R28" i="24"/>
  <c r="R27" i="24"/>
  <c r="R26" i="24"/>
  <c r="R25" i="24"/>
  <c r="R24" i="24"/>
  <c r="P5" i="24"/>
  <c r="Q1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N21" i="24"/>
  <c r="N20" i="24"/>
  <c r="N17" i="24"/>
  <c r="N16" i="24"/>
  <c r="N15" i="24"/>
  <c r="N14" i="24"/>
  <c r="N13" i="24"/>
  <c r="N12" i="24"/>
  <c r="N11" i="24"/>
  <c r="N10" i="24"/>
  <c r="P11" i="24"/>
  <c r="W11" i="24" s="1"/>
  <c r="P9" i="24"/>
  <c r="W5" i="24"/>
  <c r="W12" i="24"/>
  <c r="V12" i="24"/>
  <c r="U12" i="24"/>
  <c r="T12" i="24"/>
  <c r="S12" i="24"/>
  <c r="R12" i="24"/>
  <c r="W9" i="24"/>
  <c r="W8" i="24"/>
  <c r="V8" i="24"/>
  <c r="U8" i="24"/>
  <c r="T8" i="24"/>
  <c r="S8" i="24"/>
  <c r="W7" i="24"/>
  <c r="V7" i="24"/>
  <c r="U7" i="24"/>
  <c r="T7" i="24"/>
  <c r="S7" i="24"/>
  <c r="R7" i="24"/>
  <c r="N17" i="22"/>
  <c r="W6" i="22"/>
  <c r="N20" i="22"/>
  <c r="N19" i="22"/>
  <c r="O37" i="23"/>
  <c r="O36" i="23"/>
  <c r="O35" i="23"/>
  <c r="O34" i="23"/>
  <c r="O33" i="23"/>
  <c r="O32" i="23"/>
  <c r="O31" i="23"/>
  <c r="O30" i="23"/>
  <c r="O29" i="23"/>
  <c r="O28" i="23"/>
  <c r="O27" i="23"/>
  <c r="R26" i="23"/>
  <c r="O26" i="23"/>
  <c r="R25" i="23"/>
  <c r="N25" i="23"/>
  <c r="N24" i="23"/>
  <c r="N19" i="23"/>
  <c r="N18" i="23"/>
  <c r="N15" i="23"/>
  <c r="N14" i="23"/>
  <c r="W12" i="23"/>
  <c r="V12" i="23"/>
  <c r="U12" i="23"/>
  <c r="T12" i="23"/>
  <c r="S12" i="23"/>
  <c r="P12" i="23"/>
  <c r="R12" i="23" s="1"/>
  <c r="P11" i="23"/>
  <c r="N21" i="23" s="1"/>
  <c r="N11" i="23"/>
  <c r="W10" i="23"/>
  <c r="V10" i="23"/>
  <c r="U10" i="23"/>
  <c r="T10" i="23"/>
  <c r="S10" i="23"/>
  <c r="P10" i="23"/>
  <c r="R10" i="23" s="1"/>
  <c r="P9" i="23"/>
  <c r="W9" i="23" s="1"/>
  <c r="W8" i="23"/>
  <c r="V8" i="23"/>
  <c r="U8" i="23"/>
  <c r="T8" i="23"/>
  <c r="S8" i="23"/>
  <c r="R8" i="23"/>
  <c r="P8" i="23"/>
  <c r="P7" i="23"/>
  <c r="N23" i="23" s="1"/>
  <c r="P6" i="23"/>
  <c r="N12" i="23" s="1"/>
  <c r="W5" i="23"/>
  <c r="P5" i="23"/>
  <c r="V5" i="23" s="1"/>
  <c r="N13" i="22"/>
  <c r="N23" i="22"/>
  <c r="N12" i="22"/>
  <c r="N24" i="22"/>
  <c r="W9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U6" i="22"/>
  <c r="T6" i="22"/>
  <c r="S6" i="22"/>
  <c r="P12" i="20"/>
  <c r="N25" i="20" s="1"/>
  <c r="R32" i="20"/>
  <c r="R31" i="20"/>
  <c r="N23" i="20"/>
  <c r="N22" i="20"/>
  <c r="Q14" i="20"/>
  <c r="N21" i="20"/>
  <c r="N20" i="20"/>
  <c r="P11" i="20"/>
  <c r="W11" i="20"/>
  <c r="N19" i="20"/>
  <c r="N18" i="20"/>
  <c r="P10" i="20"/>
  <c r="N17" i="20"/>
  <c r="N16" i="20"/>
  <c r="N15" i="20"/>
  <c r="N14" i="20"/>
  <c r="N13" i="20"/>
  <c r="N12" i="20"/>
  <c r="N11" i="20"/>
  <c r="N10" i="20"/>
  <c r="P9" i="20"/>
  <c r="W9" i="20" s="1"/>
  <c r="P8" i="20"/>
  <c r="W8" i="20"/>
  <c r="W7" i="20"/>
  <c r="P6" i="20"/>
  <c r="W6" i="20" s="1"/>
  <c r="W10" i="20"/>
  <c r="V10" i="20"/>
  <c r="P5" i="20"/>
  <c r="T10" i="20"/>
  <c r="W5" i="20"/>
  <c r="W5" i="19"/>
  <c r="W6" i="19"/>
  <c r="W7" i="19"/>
  <c r="W8" i="19"/>
  <c r="W9" i="19"/>
  <c r="W10" i="19"/>
  <c r="W11" i="19"/>
  <c r="W12" i="19"/>
  <c r="V5" i="19"/>
  <c r="V6" i="19"/>
  <c r="V7" i="19"/>
  <c r="V8" i="19"/>
  <c r="V9" i="19"/>
  <c r="V10" i="19"/>
  <c r="V11" i="19"/>
  <c r="V12" i="19"/>
  <c r="U7" i="19"/>
  <c r="U6" i="19"/>
  <c r="U5" i="19"/>
  <c r="U8" i="19"/>
  <c r="U9" i="19"/>
  <c r="U10" i="19"/>
  <c r="U11" i="19"/>
  <c r="U12" i="19"/>
  <c r="T5" i="19"/>
  <c r="T6" i="19"/>
  <c r="T7" i="19"/>
  <c r="T8" i="19"/>
  <c r="T9" i="19"/>
  <c r="T10" i="19"/>
  <c r="T11" i="19"/>
  <c r="T12" i="19"/>
  <c r="S6" i="19"/>
  <c r="S7" i="19"/>
  <c r="S8" i="19"/>
  <c r="S9" i="19"/>
  <c r="S10" i="19"/>
  <c r="S11" i="19"/>
  <c r="S12" i="19"/>
  <c r="S5" i="19"/>
  <c r="N21" i="19"/>
  <c r="N20" i="19"/>
  <c r="N19" i="19"/>
  <c r="N18" i="19"/>
  <c r="N17" i="19"/>
  <c r="N16" i="19"/>
  <c r="N15" i="19"/>
  <c r="N14" i="19"/>
  <c r="N13" i="19"/>
  <c r="N12" i="19"/>
  <c r="R29" i="19"/>
  <c r="R28" i="19"/>
  <c r="R27" i="19"/>
  <c r="R26" i="19"/>
  <c r="R25" i="19"/>
  <c r="R12" i="19"/>
  <c r="P11" i="19"/>
  <c r="R11" i="19" s="1"/>
  <c r="N11" i="19"/>
  <c r="P10" i="19"/>
  <c r="R10" i="19" s="1"/>
  <c r="N10" i="19"/>
  <c r="P9" i="19"/>
  <c r="R9" i="19" s="1"/>
  <c r="P8" i="19"/>
  <c r="R8" i="19" s="1"/>
  <c r="R7" i="19"/>
  <c r="P6" i="19"/>
  <c r="R6" i="19" s="1"/>
  <c r="P5" i="19"/>
  <c r="R5" i="19" s="1"/>
  <c r="N14" i="22" l="1"/>
  <c r="V8" i="22"/>
  <c r="W8" i="22"/>
  <c r="N11" i="22"/>
  <c r="W5" i="22"/>
  <c r="R10" i="29"/>
  <c r="S10" i="29"/>
  <c r="T10" i="29"/>
  <c r="U10" i="29"/>
  <c r="N18" i="29"/>
  <c r="V10" i="29"/>
  <c r="N19" i="29"/>
  <c r="R8" i="29"/>
  <c r="R6" i="29"/>
  <c r="T8" i="29"/>
  <c r="U8" i="29"/>
  <c r="V8" i="29"/>
  <c r="U6" i="29"/>
  <c r="W8" i="29"/>
  <c r="W6" i="29"/>
  <c r="R9" i="29"/>
  <c r="S9" i="29"/>
  <c r="T9" i="29"/>
  <c r="S7" i="29"/>
  <c r="U9" i="29"/>
  <c r="R5" i="29"/>
  <c r="V9" i="29"/>
  <c r="S5" i="29"/>
  <c r="W9" i="29"/>
  <c r="N12" i="29"/>
  <c r="T5" i="29"/>
  <c r="V7" i="29"/>
  <c r="N10" i="29"/>
  <c r="N22" i="29"/>
  <c r="S8" i="29"/>
  <c r="S6" i="29"/>
  <c r="T6" i="29"/>
  <c r="N13" i="29"/>
  <c r="N14" i="29"/>
  <c r="N16" i="29"/>
  <c r="R7" i="29"/>
  <c r="T7" i="29"/>
  <c r="U7" i="29"/>
  <c r="W7" i="29"/>
  <c r="N17" i="28"/>
  <c r="U9" i="28"/>
  <c r="V9" i="28"/>
  <c r="R5" i="28"/>
  <c r="S5" i="28"/>
  <c r="T5" i="28"/>
  <c r="N10" i="28"/>
  <c r="U5" i="28"/>
  <c r="V5" i="28"/>
  <c r="R10" i="28"/>
  <c r="R12" i="28"/>
  <c r="W5" i="28"/>
  <c r="R8" i="28"/>
  <c r="S10" i="28"/>
  <c r="S12" i="28"/>
  <c r="N24" i="28"/>
  <c r="S8" i="28"/>
  <c r="T10" i="28"/>
  <c r="T12" i="28"/>
  <c r="N25" i="28"/>
  <c r="R6" i="28"/>
  <c r="T8" i="28"/>
  <c r="U10" i="28"/>
  <c r="U12" i="28"/>
  <c r="S6" i="28"/>
  <c r="U8" i="28"/>
  <c r="V10" i="28"/>
  <c r="V12" i="28"/>
  <c r="T6" i="28"/>
  <c r="V8" i="28"/>
  <c r="U6" i="28"/>
  <c r="W8" i="28"/>
  <c r="N13" i="28"/>
  <c r="V6" i="28"/>
  <c r="N14" i="28"/>
  <c r="R9" i="28"/>
  <c r="R11" i="28"/>
  <c r="S9" i="28"/>
  <c r="S11" i="28"/>
  <c r="N16" i="28"/>
  <c r="T9" i="28"/>
  <c r="U8" i="27"/>
  <c r="R6" i="27"/>
  <c r="T6" i="27"/>
  <c r="V8" i="27"/>
  <c r="W8" i="27"/>
  <c r="N13" i="27"/>
  <c r="N14" i="27"/>
  <c r="R11" i="27"/>
  <c r="R7" i="27"/>
  <c r="T11" i="27"/>
  <c r="S7" i="27"/>
  <c r="R5" i="27"/>
  <c r="T7" i="27"/>
  <c r="V9" i="27"/>
  <c r="V11" i="27"/>
  <c r="R8" i="27"/>
  <c r="S8" i="27"/>
  <c r="R9" i="27"/>
  <c r="S11" i="27"/>
  <c r="N17" i="27"/>
  <c r="U9" i="27"/>
  <c r="S5" i="27"/>
  <c r="U7" i="27"/>
  <c r="W9" i="27"/>
  <c r="W11" i="27"/>
  <c r="N20" i="27"/>
  <c r="T8" i="27"/>
  <c r="T5" i="27"/>
  <c r="N10" i="27"/>
  <c r="N12" i="27"/>
  <c r="N21" i="27"/>
  <c r="S6" i="27"/>
  <c r="U6" i="27"/>
  <c r="V6" i="27"/>
  <c r="S9" i="27"/>
  <c r="N16" i="27"/>
  <c r="V7" i="27"/>
  <c r="W7" i="27"/>
  <c r="S8" i="26"/>
  <c r="N22" i="26"/>
  <c r="U5" i="26"/>
  <c r="N13" i="26"/>
  <c r="S11" i="26"/>
  <c r="R5" i="26"/>
  <c r="W9" i="26"/>
  <c r="W11" i="26"/>
  <c r="R11" i="26"/>
  <c r="N16" i="26"/>
  <c r="S5" i="26"/>
  <c r="N10" i="26"/>
  <c r="N12" i="26"/>
  <c r="N20" i="26"/>
  <c r="R6" i="26"/>
  <c r="T6" i="26"/>
  <c r="V6" i="26"/>
  <c r="S9" i="26"/>
  <c r="T5" i="26"/>
  <c r="N21" i="26"/>
  <c r="S6" i="26"/>
  <c r="U6" i="26"/>
  <c r="R9" i="26"/>
  <c r="T9" i="26"/>
  <c r="T11" i="26"/>
  <c r="U9" i="26"/>
  <c r="U11" i="26"/>
  <c r="N17" i="26"/>
  <c r="U8" i="25"/>
  <c r="S12" i="25"/>
  <c r="S11" i="25"/>
  <c r="T9" i="25"/>
  <c r="U11" i="25"/>
  <c r="V9" i="25"/>
  <c r="W11" i="25"/>
  <c r="T5" i="25"/>
  <c r="U5" i="25"/>
  <c r="R10" i="25"/>
  <c r="R12" i="25"/>
  <c r="R9" i="25"/>
  <c r="S9" i="25"/>
  <c r="U9" i="25"/>
  <c r="R5" i="25"/>
  <c r="W5" i="25"/>
  <c r="T8" i="25"/>
  <c r="U10" i="25"/>
  <c r="U12" i="25"/>
  <c r="R11" i="25"/>
  <c r="T11" i="25"/>
  <c r="S5" i="25"/>
  <c r="T12" i="25"/>
  <c r="V10" i="25"/>
  <c r="V12" i="25"/>
  <c r="N18" i="24"/>
  <c r="N19" i="24"/>
  <c r="T10" i="24"/>
  <c r="U10" i="24"/>
  <c r="V10" i="24"/>
  <c r="T6" i="24"/>
  <c r="S11" i="24"/>
  <c r="U11" i="24"/>
  <c r="U6" i="24"/>
  <c r="R11" i="24"/>
  <c r="W6" i="24"/>
  <c r="T11" i="24"/>
  <c r="T5" i="24"/>
  <c r="U5" i="24"/>
  <c r="R6" i="24"/>
  <c r="S6" i="24"/>
  <c r="R9" i="24"/>
  <c r="S9" i="24"/>
  <c r="T9" i="24"/>
  <c r="U9" i="24"/>
  <c r="V9" i="24"/>
  <c r="V11" i="24"/>
  <c r="R5" i="24"/>
  <c r="S5" i="24"/>
  <c r="R10" i="24"/>
  <c r="V5" i="24"/>
  <c r="R8" i="24"/>
  <c r="S10" i="24"/>
  <c r="N16" i="22"/>
  <c r="V6" i="22"/>
  <c r="N21" i="22"/>
  <c r="N18" i="22"/>
  <c r="W10" i="22"/>
  <c r="R6" i="23"/>
  <c r="S6" i="23"/>
  <c r="T6" i="23"/>
  <c r="U6" i="23"/>
  <c r="N13" i="23"/>
  <c r="V6" i="23"/>
  <c r="W6" i="23"/>
  <c r="R9" i="23"/>
  <c r="R11" i="23"/>
  <c r="S9" i="23"/>
  <c r="S11" i="23"/>
  <c r="N16" i="23"/>
  <c r="R7" i="23"/>
  <c r="T9" i="23"/>
  <c r="T11" i="23"/>
  <c r="N17" i="23"/>
  <c r="S7" i="23"/>
  <c r="U9" i="23"/>
  <c r="U11" i="23"/>
  <c r="R5" i="23"/>
  <c r="T7" i="23"/>
  <c r="V9" i="23"/>
  <c r="V11" i="23"/>
  <c r="S5" i="23"/>
  <c r="U7" i="23"/>
  <c r="W11" i="23"/>
  <c r="N20" i="23"/>
  <c r="T5" i="23"/>
  <c r="V7" i="23"/>
  <c r="N10" i="23"/>
  <c r="U5" i="23"/>
  <c r="W7" i="23"/>
  <c r="N22" i="23"/>
  <c r="R7" i="22"/>
  <c r="S7" i="22"/>
  <c r="T7" i="22"/>
  <c r="U7" i="22"/>
  <c r="V7" i="22"/>
  <c r="N22" i="22"/>
  <c r="W7" i="22"/>
  <c r="W12" i="22"/>
  <c r="N25" i="22"/>
  <c r="R9" i="22"/>
  <c r="S9" i="22"/>
  <c r="U11" i="22"/>
  <c r="U9" i="22"/>
  <c r="S5" i="22"/>
  <c r="T5" i="22"/>
  <c r="R12" i="22"/>
  <c r="T10" i="22"/>
  <c r="T8" i="22"/>
  <c r="U10" i="22"/>
  <c r="U12" i="22"/>
  <c r="T9" i="22"/>
  <c r="S10" i="22"/>
  <c r="S8" i="22"/>
  <c r="R6" i="22"/>
  <c r="U8" i="22"/>
  <c r="V10" i="22"/>
  <c r="V12" i="22"/>
  <c r="R11" i="22"/>
  <c r="S11" i="22"/>
  <c r="T11" i="22"/>
  <c r="V9" i="22"/>
  <c r="V11" i="22"/>
  <c r="R5" i="22"/>
  <c r="W11" i="22"/>
  <c r="U5" i="22"/>
  <c r="R10" i="22"/>
  <c r="V5" i="22"/>
  <c r="R8" i="22"/>
  <c r="S12" i="22"/>
  <c r="T12" i="22"/>
  <c r="W12" i="20"/>
  <c r="N24" i="20"/>
  <c r="V12" i="20"/>
  <c r="R12" i="20"/>
  <c r="S12" i="20"/>
  <c r="T12" i="20"/>
  <c r="U12" i="20"/>
  <c r="U8" i="20"/>
  <c r="S8" i="20"/>
  <c r="V8" i="20"/>
  <c r="T8" i="20"/>
  <c r="R7" i="20"/>
  <c r="S7" i="20"/>
  <c r="T7" i="20"/>
  <c r="U7" i="20"/>
  <c r="V7" i="20"/>
  <c r="U10" i="20"/>
  <c r="R6" i="20"/>
  <c r="S6" i="20"/>
  <c r="T6" i="20"/>
  <c r="U6" i="20"/>
  <c r="V6" i="20"/>
  <c r="R9" i="20"/>
  <c r="R11" i="20"/>
  <c r="S9" i="20"/>
  <c r="S11" i="20"/>
  <c r="T9" i="20"/>
  <c r="T11" i="20"/>
  <c r="U9" i="20"/>
  <c r="U11" i="20"/>
  <c r="V9" i="20"/>
  <c r="V11" i="20"/>
  <c r="R5" i="20"/>
  <c r="S5" i="20"/>
  <c r="T5" i="20"/>
  <c r="U5" i="20"/>
  <c r="R10" i="20"/>
  <c r="V5" i="20"/>
  <c r="R8" i="20"/>
  <c r="S10" i="20"/>
</calcChain>
</file>

<file path=xl/sharedStrings.xml><?xml version="1.0" encoding="utf-8"?>
<sst xmlns="http://schemas.openxmlformats.org/spreadsheetml/2006/main" count="2132" uniqueCount="496">
  <si>
    <t>Military Mobilization - National Security and Natural Disasters</t>
  </si>
  <si>
    <t>Do you understand the above and agree to participate?</t>
  </si>
  <si>
    <t>Answer Choices</t>
  </si>
  <si>
    <t>Responses</t>
  </si>
  <si>
    <t>I consent and wish to proceed</t>
  </si>
  <si>
    <t>I do not consent</t>
  </si>
  <si>
    <t>Answered</t>
  </si>
  <si>
    <t>Skipped</t>
  </si>
  <si>
    <t>In your opinion, how much of your country's military should be mobilized to defend against an international terrorist attack/threat?</t>
  </si>
  <si>
    <t>Average Number</t>
  </si>
  <si>
    <t>Total Number</t>
  </si>
  <si>
    <t>(no label)</t>
  </si>
  <si>
    <t>Respondent ID</t>
  </si>
  <si>
    <t>Response Date</t>
  </si>
  <si>
    <t>Tags</t>
  </si>
  <si>
    <t>115069650111</t>
  </si>
  <si>
    <t>Mar 30 2026 02:45 AM</t>
  </si>
  <si>
    <t>10</t>
  </si>
  <si>
    <t>115069212696</t>
  </si>
  <si>
    <t>Mar 29 2026 05:17 AM</t>
  </si>
  <si>
    <t>9</t>
  </si>
  <si>
    <t>115068560973</t>
  </si>
  <si>
    <t>Mar 27 2026 10:25 AM</t>
  </si>
  <si>
    <t>100</t>
  </si>
  <si>
    <t>115068453792</t>
  </si>
  <si>
    <t>Mar 27 2026 07:42 AM</t>
  </si>
  <si>
    <t>115067404428</t>
  </si>
  <si>
    <t>Mar 26 2026 12:23 AM</t>
  </si>
  <si>
    <t>115067314820</t>
  </si>
  <si>
    <t>Mar 25 2026 09:07 PM</t>
  </si>
  <si>
    <t>46</t>
  </si>
  <si>
    <t>115066805366</t>
  </si>
  <si>
    <t>Mar 25 2026 07:18 AM</t>
  </si>
  <si>
    <t>15</t>
  </si>
  <si>
    <t>115066686348</t>
  </si>
  <si>
    <t>Mar 25 2026 05:12 AM</t>
  </si>
  <si>
    <t>115066630947</t>
  </si>
  <si>
    <t>Mar 25 2026 04:09 AM</t>
  </si>
  <si>
    <t>5</t>
  </si>
  <si>
    <t>115066259003</t>
  </si>
  <si>
    <t>Mar 24 2026 01:46 PM</t>
  </si>
  <si>
    <t>30</t>
  </si>
  <si>
    <t>115065970387</t>
  </si>
  <si>
    <t>Mar 24 2026 07:13 AM</t>
  </si>
  <si>
    <t>115065956794</t>
  </si>
  <si>
    <t>Mar 24 2026 07:01 AM</t>
  </si>
  <si>
    <t>50</t>
  </si>
  <si>
    <t>115065878005</t>
  </si>
  <si>
    <t>Mar 24 2026 05:32 AM</t>
  </si>
  <si>
    <t>115065846486</t>
  </si>
  <si>
    <t>Mar 24 2026 05:05 AM</t>
  </si>
  <si>
    <t>51</t>
  </si>
  <si>
    <t>115065809962</t>
  </si>
  <si>
    <t>Mar 24 2026 04:24 AM</t>
  </si>
  <si>
    <t>115065801328</t>
  </si>
  <si>
    <t>Mar 24 2026 04:12 AM</t>
  </si>
  <si>
    <t>115065733863</t>
  </si>
  <si>
    <t>Mar 24 2026 02:56 AM</t>
  </si>
  <si>
    <t>20</t>
  </si>
  <si>
    <t>115065718927</t>
  </si>
  <si>
    <t>Mar 24 2026 02:37 AM</t>
  </si>
  <si>
    <t>25</t>
  </si>
  <si>
    <t>115065588572</t>
  </si>
  <si>
    <t>Mar 23 2026 11:14 PM</t>
  </si>
  <si>
    <t>49</t>
  </si>
  <si>
    <t>115065588123</t>
  </si>
  <si>
    <t>Mar 23 2026 11:12 PM</t>
  </si>
  <si>
    <t>115065562420</t>
  </si>
  <si>
    <t>Mar 23 2026 10:05 PM</t>
  </si>
  <si>
    <t>115065559050</t>
  </si>
  <si>
    <t>Mar 23 2026 09:55 PM</t>
  </si>
  <si>
    <t>115065545928</t>
  </si>
  <si>
    <t>Mar 23 2026 09:17 PM</t>
  </si>
  <si>
    <t>115065456680</t>
  </si>
  <si>
    <t>Mar 23 2026 04:19 PM</t>
  </si>
  <si>
    <t>0</t>
  </si>
  <si>
    <t>115065410574</t>
  </si>
  <si>
    <t>Mar 23 2026 02:24 PM</t>
  </si>
  <si>
    <t>115065192794</t>
  </si>
  <si>
    <t>Mar 23 2026 08:20 AM</t>
  </si>
  <si>
    <t>115064786689</t>
  </si>
  <si>
    <t>Mar 22 2026 08:26 PM</t>
  </si>
  <si>
    <t>6</t>
  </si>
  <si>
    <t>115063120421</t>
  </si>
  <si>
    <t>Mar 19 2026 07:41 AM</t>
  </si>
  <si>
    <t>115062450894</t>
  </si>
  <si>
    <t>Mar 18 2026 09:45 AM</t>
  </si>
  <si>
    <t>115062293977</t>
  </si>
  <si>
    <t>Mar 18 2026 06:40 AM</t>
  </si>
  <si>
    <t>115062094217</t>
  </si>
  <si>
    <t>Mar 18 2026 02:39 AM</t>
  </si>
  <si>
    <t>115062085883</t>
  </si>
  <si>
    <t>Mar 18 2026 02:25 AM</t>
  </si>
  <si>
    <t>115062042229</t>
  </si>
  <si>
    <t>Mar 18 2026 01:53 AM</t>
  </si>
  <si>
    <t>115062053310</t>
  </si>
  <si>
    <t>Mar 18 2026 01:43 AM</t>
  </si>
  <si>
    <t>115061855719</t>
  </si>
  <si>
    <t>Mar 17 2026 04:15 PM</t>
  </si>
  <si>
    <t>40</t>
  </si>
  <si>
    <t>115061802699</t>
  </si>
  <si>
    <t>Mar 17 2026 02:07 PM</t>
  </si>
  <si>
    <t>115061748408</t>
  </si>
  <si>
    <t>Mar 17 2026 12:23 PM</t>
  </si>
  <si>
    <t>115061398756</t>
  </si>
  <si>
    <t>Mar 17 2026 05:04 AM</t>
  </si>
  <si>
    <t>115061356173</t>
  </si>
  <si>
    <t>Mar 17 2026 04:08 AM</t>
  </si>
  <si>
    <t>115061288098</t>
  </si>
  <si>
    <t>Mar 17 2026 02:33 AM</t>
  </si>
  <si>
    <t>70</t>
  </si>
  <si>
    <t>115061281653</t>
  </si>
  <si>
    <t>Mar 17 2026 02:23 AM</t>
  </si>
  <si>
    <t>21</t>
  </si>
  <si>
    <t>115060546158</t>
  </si>
  <si>
    <t>Mar 16 2026 02:57 AM</t>
  </si>
  <si>
    <t>115060445227</t>
  </si>
  <si>
    <t>Mar 15 2026 11:24 PM</t>
  </si>
  <si>
    <t>115060205477</t>
  </si>
  <si>
    <t>Mar 15 2026 08:50 AM</t>
  </si>
  <si>
    <t>115060166922</t>
  </si>
  <si>
    <t>Mar 15 2026 06:49 AM</t>
  </si>
  <si>
    <t>115060037516</t>
  </si>
  <si>
    <t>Mar 14 2026 10:38 PM</t>
  </si>
  <si>
    <t>115059947038</t>
  </si>
  <si>
    <t>Mar 14 2026 02:34 PM</t>
  </si>
  <si>
    <t>115053821387</t>
  </si>
  <si>
    <t>Mar 14 2026 10:00 AM</t>
  </si>
  <si>
    <t>71</t>
  </si>
  <si>
    <t>115052949779</t>
  </si>
  <si>
    <t>115049863613</t>
  </si>
  <si>
    <t>38</t>
  </si>
  <si>
    <t>115059837015</t>
  </si>
  <si>
    <t>Mar 14 2026 08:48 AM</t>
  </si>
  <si>
    <t>72</t>
  </si>
  <si>
    <t>115059524671</t>
  </si>
  <si>
    <t>Mar 13 2026 04:41 PM</t>
  </si>
  <si>
    <t>36</t>
  </si>
  <si>
    <t>115059492768</t>
  </si>
  <si>
    <t>Mar 13 2026 02:58 PM</t>
  </si>
  <si>
    <t>115059460154</t>
  </si>
  <si>
    <t>Mar 13 2026 01:41 PM</t>
  </si>
  <si>
    <t>115059128227</t>
  </si>
  <si>
    <t>Mar 13 2026 06:09 AM</t>
  </si>
  <si>
    <t>115058870904</t>
  </si>
  <si>
    <t>Mar 13 2026 01:16 AM</t>
  </si>
  <si>
    <t>115058691916</t>
  </si>
  <si>
    <t>Mar 12 2026 08:24 PM</t>
  </si>
  <si>
    <t>115058667620</t>
  </si>
  <si>
    <t>Mar 12 2026 07:41 PM</t>
  </si>
  <si>
    <t>75</t>
  </si>
  <si>
    <t>115058578444</t>
  </si>
  <si>
    <t>Mar 12 2026 05:01 PM</t>
  </si>
  <si>
    <t>115058571314</t>
  </si>
  <si>
    <t>Mar 12 2026 04:49 PM</t>
  </si>
  <si>
    <t>115058406379</t>
  </si>
  <si>
    <t>Mar 12 2026 01:26 PM</t>
  </si>
  <si>
    <t>115058394404</t>
  </si>
  <si>
    <t>Mar 12 2026 01:00 PM</t>
  </si>
  <si>
    <t>115058388728</t>
  </si>
  <si>
    <t>Mar 12 2026 12:48 PM</t>
  </si>
  <si>
    <t>115058380547</t>
  </si>
  <si>
    <t>Mar 12 2026 12:31 PM</t>
  </si>
  <si>
    <t>67</t>
  </si>
  <si>
    <t>115057956319</t>
  </si>
  <si>
    <t>Mar 12 2026 03:04 AM</t>
  </si>
  <si>
    <t>115057900435</t>
  </si>
  <si>
    <t>Mar 12 2026 01:29 AM</t>
  </si>
  <si>
    <t>115057813917</t>
  </si>
  <si>
    <t>Mar 11 2026 10:12 PM</t>
  </si>
  <si>
    <t>115057688300</t>
  </si>
  <si>
    <t>Mar 11 2026 03:48 PM</t>
  </si>
  <si>
    <t>115057551334</t>
  </si>
  <si>
    <t>Mar 11 2026 11:22 AM</t>
  </si>
  <si>
    <t>115057406284</t>
  </si>
  <si>
    <t>Mar 11 2026 08:29 AM</t>
  </si>
  <si>
    <t>115057239296</t>
  </si>
  <si>
    <t>Mar 11 2026 04:49 AM</t>
  </si>
  <si>
    <t>115057177500</t>
  </si>
  <si>
    <t>Mar 11 2026 03:33 AM</t>
  </si>
  <si>
    <t>115057175030</t>
  </si>
  <si>
    <t>Mar 11 2026 03:25 AM</t>
  </si>
  <si>
    <t>115057166283</t>
  </si>
  <si>
    <t>Mar 11 2026 03:14 AM</t>
  </si>
  <si>
    <t>115057148988</t>
  </si>
  <si>
    <t>Mar 11 2026 02:46 AM</t>
  </si>
  <si>
    <t>90</t>
  </si>
  <si>
    <t>115057126708</t>
  </si>
  <si>
    <t>Mar 11 2026 02:06 AM</t>
  </si>
  <si>
    <t>115057095913</t>
  </si>
  <si>
    <t>Mar 11 2026 01:00 AM</t>
  </si>
  <si>
    <t>115056983579</t>
  </si>
  <si>
    <t>Mar 10 2026 07:05 PM</t>
  </si>
  <si>
    <t>115056858656</t>
  </si>
  <si>
    <t>Mar 10 2026 01:33 PM</t>
  </si>
  <si>
    <t>115056755893</t>
  </si>
  <si>
    <t>Mar 10 2026 10:44 AM</t>
  </si>
  <si>
    <t>115056748418</t>
  </si>
  <si>
    <t>Mar 10 2026 10:34 AM</t>
  </si>
  <si>
    <t>115056746931</t>
  </si>
  <si>
    <t>Mar 10 2026 10:32 AM</t>
  </si>
  <si>
    <t>115056738585</t>
  </si>
  <si>
    <t>Mar 10 2026 10:21 AM</t>
  </si>
  <si>
    <t>60</t>
  </si>
  <si>
    <t>115056738727</t>
  </si>
  <si>
    <t>115049910186</t>
  </si>
  <si>
    <t>Feb 27 2026 12:43 PM</t>
  </si>
  <si>
    <t>115049662603</t>
  </si>
  <si>
    <t>Feb 27 2026 07:11 AM</t>
  </si>
  <si>
    <t>In your opinion, how much of your country's military should be mobilized to participate in a war against a peer-to-peer threat or country with similar capabilities and technology?</t>
  </si>
  <si>
    <t>66</t>
  </si>
  <si>
    <t>52</t>
  </si>
  <si>
    <t>80</t>
  </si>
  <si>
    <t>85</t>
  </si>
  <si>
    <t>74</t>
  </si>
  <si>
    <t>97</t>
  </si>
  <si>
    <t>45</t>
  </si>
  <si>
    <t>56</t>
  </si>
  <si>
    <t>53</t>
  </si>
  <si>
    <t>22</t>
  </si>
  <si>
    <t>82</t>
  </si>
  <si>
    <t>35</t>
  </si>
  <si>
    <t>18</t>
  </si>
  <si>
    <t>59</t>
  </si>
  <si>
    <t>65</t>
  </si>
  <si>
    <t>95</t>
  </si>
  <si>
    <t>What is your title?</t>
  </si>
  <si>
    <t>Military Officer</t>
  </si>
  <si>
    <t>Retired Military</t>
  </si>
  <si>
    <t>Civilian</t>
  </si>
  <si>
    <t>Teacher/Professor</t>
  </si>
  <si>
    <t>Government Employee</t>
  </si>
  <si>
    <t>Other (please specify)</t>
  </si>
  <si>
    <t>Mar 14 2026 02:35 PM</t>
  </si>
  <si>
    <t xml:space="preserve">Civil society </t>
  </si>
  <si>
    <t>Professor</t>
  </si>
  <si>
    <t>What country were you considering or representing while taking this survey?</t>
  </si>
  <si>
    <t>Mar 30 2026 02:46 AM</t>
  </si>
  <si>
    <t>FAO - DTRA</t>
  </si>
  <si>
    <t>Mar 29 2026 05:18 AM</t>
  </si>
  <si>
    <t>Israel</t>
  </si>
  <si>
    <t>Asia</t>
  </si>
  <si>
    <t>USA</t>
  </si>
  <si>
    <t>USA, North America</t>
  </si>
  <si>
    <t>France</t>
  </si>
  <si>
    <t>Europe</t>
  </si>
  <si>
    <t>Mar 26 2026 12:24 AM</t>
  </si>
  <si>
    <t>Mar 25 2026 07:19 AM</t>
  </si>
  <si>
    <t xml:space="preserve">Kazakhstan </t>
  </si>
  <si>
    <t>Mar 24 2026 05:33 AM</t>
  </si>
  <si>
    <t>Jordan</t>
  </si>
  <si>
    <t>Mar 24 2026 02:57 AM</t>
  </si>
  <si>
    <t>Senegal</t>
  </si>
  <si>
    <t>Africa</t>
  </si>
  <si>
    <t>North America, USA</t>
  </si>
  <si>
    <t>Mar 23 2026 09:18 PM</t>
  </si>
  <si>
    <t>India</t>
  </si>
  <si>
    <t>Mar 23 2026 04:20 PM</t>
  </si>
  <si>
    <t>Trinidad and Tobago</t>
  </si>
  <si>
    <t>South America</t>
  </si>
  <si>
    <t>Mar 23 2026 08:21 AM</t>
  </si>
  <si>
    <t>United Arab Emirates</t>
  </si>
  <si>
    <t>Nicaragua and Saudi Arabia</t>
  </si>
  <si>
    <t>Asia, North America</t>
  </si>
  <si>
    <t>Mar 18 2026 09:46 AM</t>
  </si>
  <si>
    <t>Mar 18 2026 02:26 AM</t>
  </si>
  <si>
    <t>Spain</t>
  </si>
  <si>
    <t>Mar 18 2026 01:44 AM</t>
  </si>
  <si>
    <t xml:space="preserve">United States </t>
  </si>
  <si>
    <t>Mar 17 2026 04:19 PM</t>
  </si>
  <si>
    <t>Mar 17 2026 02:08 PM</t>
  </si>
  <si>
    <t>Mar 17 2026 04:09 AM</t>
  </si>
  <si>
    <t>NATO / Western Europe (Prefer not to answer specifically)</t>
  </si>
  <si>
    <t>Mar 16 2026 02:58 AM</t>
  </si>
  <si>
    <t>Mar 15 2026 11:25 PM</t>
  </si>
  <si>
    <t>Germany</t>
  </si>
  <si>
    <t>Portugal</t>
  </si>
  <si>
    <t>Palau</t>
  </si>
  <si>
    <t>Pacific</t>
  </si>
  <si>
    <t>Mar 14 2026 08:49 AM</t>
  </si>
  <si>
    <t>Malawi</t>
  </si>
  <si>
    <t>Mar 13 2026 04:45 PM</t>
  </si>
  <si>
    <t>1</t>
  </si>
  <si>
    <t>Thailand</t>
  </si>
  <si>
    <t>Mar 13 2026 01:42 PM</t>
  </si>
  <si>
    <t>South Korea</t>
  </si>
  <si>
    <t>Mar 13 2026 06:11 AM</t>
  </si>
  <si>
    <t>United Kingdom</t>
  </si>
  <si>
    <t>Mar 12 2026 08:28 PM</t>
  </si>
  <si>
    <t>Kenya</t>
  </si>
  <si>
    <t>Mar 12 2026 05:02 PM</t>
  </si>
  <si>
    <t xml:space="preserve">Nigeria </t>
  </si>
  <si>
    <t>New Zealand</t>
  </si>
  <si>
    <t>Mar 12 2026 01:27 PM</t>
  </si>
  <si>
    <t>Australia</t>
  </si>
  <si>
    <t>Mar 12 2026 01:01 PM</t>
  </si>
  <si>
    <t>Mar 12 2026 12:32 PM</t>
  </si>
  <si>
    <t>France, Germany</t>
  </si>
  <si>
    <t>Mar 11 2026 11:23 AM</t>
  </si>
  <si>
    <t>Turkey</t>
  </si>
  <si>
    <t>Poland</t>
  </si>
  <si>
    <t>Mar 11 2026 03:26 AM</t>
  </si>
  <si>
    <t>Argentina</t>
  </si>
  <si>
    <t>Mar 11 2026 03:15 AM</t>
  </si>
  <si>
    <t>North America</t>
  </si>
  <si>
    <t>Mar 11 2026 01:01 AM</t>
  </si>
  <si>
    <t>Sierra Leone</t>
  </si>
  <si>
    <t>China</t>
  </si>
  <si>
    <t>Mar 10 2026 10:35 AM</t>
  </si>
  <si>
    <t>Mar 10 2026 10:23 AM</t>
  </si>
  <si>
    <t>Mar 10 2026 10:22 AM</t>
  </si>
  <si>
    <t>Lithuania</t>
  </si>
  <si>
    <t>Feb 27 2026 12:44 PM</t>
  </si>
  <si>
    <t>What is your primary line of work?</t>
  </si>
  <si>
    <t>Military - Active Duty</t>
  </si>
  <si>
    <t>Military - Reserve or Other Component</t>
  </si>
  <si>
    <t>Medicine / Health Care - Military or Civilian</t>
  </si>
  <si>
    <t>Emergency Management</t>
  </si>
  <si>
    <t>Humanitarian Assistance</t>
  </si>
  <si>
    <t>Disaster Management</t>
  </si>
  <si>
    <t>Academia (Professor, teacher, researcher)</t>
  </si>
  <si>
    <t>Government</t>
  </si>
  <si>
    <t>Urban and Regional Planning</t>
  </si>
  <si>
    <t>In your opinion, how much of your country's military should be mobilized to defend against illegal drugs, drug trafficking, and drug distribution?</t>
  </si>
  <si>
    <t>Mar 29 2026 05:19 AM</t>
  </si>
  <si>
    <t>Mar 27 2026 10:26 AM</t>
  </si>
  <si>
    <t>Mar 27 2026 07:43 AM</t>
  </si>
  <si>
    <t>Mar 25 2026 09:08 PM</t>
  </si>
  <si>
    <t>Mar 25 2026 07:20 AM</t>
  </si>
  <si>
    <t>Mar 25 2026 05:14 AM</t>
  </si>
  <si>
    <t>2</t>
  </si>
  <si>
    <t>Mar 25 2026 04:10 AM</t>
  </si>
  <si>
    <t>3</t>
  </si>
  <si>
    <t>Mar 24 2026 01:48 PM</t>
  </si>
  <si>
    <t>Mar 24 2026 07:14 AM</t>
  </si>
  <si>
    <t>Mar 24 2026 07:02 AM</t>
  </si>
  <si>
    <t>Mar 24 2026 05:07 AM</t>
  </si>
  <si>
    <t>Mar 24 2026 04:27 AM</t>
  </si>
  <si>
    <t>Mar 24 2026 04:14 AM</t>
  </si>
  <si>
    <t>Mar 24 2026 02:58 AM</t>
  </si>
  <si>
    <t>Mar 23 2026 11:16 PM</t>
  </si>
  <si>
    <t>Mar 23 2026 11:13 PM</t>
  </si>
  <si>
    <t>8</t>
  </si>
  <si>
    <t>Mar 23 2026 10:06 PM</t>
  </si>
  <si>
    <t>Mar 23 2026 09:19 PM</t>
  </si>
  <si>
    <t>Mar 23 2026 04:21 PM</t>
  </si>
  <si>
    <t>Mar 23 2026 02:25 PM</t>
  </si>
  <si>
    <t>77</t>
  </si>
  <si>
    <t>Mar 23 2026 08:22 AM</t>
  </si>
  <si>
    <t>Mar 22 2026 08:27 PM</t>
  </si>
  <si>
    <t>Mar 19 2026 07:42 AM</t>
  </si>
  <si>
    <t>Mar 18 2026 09:47 AM</t>
  </si>
  <si>
    <t>Mar 18 2026 06:41 AM</t>
  </si>
  <si>
    <t>Mar 18 2026 01:56 AM</t>
  </si>
  <si>
    <t>4</t>
  </si>
  <si>
    <t>Mar 17 2026 04:21 PM</t>
  </si>
  <si>
    <t>26</t>
  </si>
  <si>
    <t>Mar 17 2026 12:24 PM</t>
  </si>
  <si>
    <t>Mar 17 2026 05:06 AM</t>
  </si>
  <si>
    <t>Mar 17 2026 02:34 AM</t>
  </si>
  <si>
    <t>Mar 17 2026 02:24 AM</t>
  </si>
  <si>
    <t>Mar 16 2026 02:59 AM</t>
  </si>
  <si>
    <t>Mar 15 2026 11:26 PM</t>
  </si>
  <si>
    <t>Mar 14 2026 10:39 PM</t>
  </si>
  <si>
    <t>Mar 14 2026 02:37 PM</t>
  </si>
  <si>
    <t>Mar 14 2026 08:50 AM</t>
  </si>
  <si>
    <t>84</t>
  </si>
  <si>
    <t>Mar 13 2026 04:49 PM</t>
  </si>
  <si>
    <t>47</t>
  </si>
  <si>
    <t>54</t>
  </si>
  <si>
    <t>Mar 13 2026 06:12 AM</t>
  </si>
  <si>
    <t>Mar 13 2026 01:17 AM</t>
  </si>
  <si>
    <t>Mar 12 2026 07:42 PM</t>
  </si>
  <si>
    <t>76</t>
  </si>
  <si>
    <t>Mar 12 2026 05:05 PM</t>
  </si>
  <si>
    <t>Mar 12 2026 04:50 PM</t>
  </si>
  <si>
    <t>Mar 12 2026 01:02 PM</t>
  </si>
  <si>
    <t>Mar 12 2026 12:49 PM</t>
  </si>
  <si>
    <t>Mar 12 2026 12:33 PM</t>
  </si>
  <si>
    <t>24</t>
  </si>
  <si>
    <t>Mar 12 2026 03:05 AM</t>
  </si>
  <si>
    <t>Mar 12 2026 01:30 AM</t>
  </si>
  <si>
    <t>Mar 11 2026 03:51 PM</t>
  </si>
  <si>
    <t>19</t>
  </si>
  <si>
    <t>Mar 11 2026 11:24 AM</t>
  </si>
  <si>
    <t>Mar 11 2026 03:34 AM</t>
  </si>
  <si>
    <t>Mar 11 2026 02:07 AM</t>
  </si>
  <si>
    <t>Mar 10 2026 07:06 PM</t>
  </si>
  <si>
    <t>Mar 10 2026 01:34 PM</t>
  </si>
  <si>
    <t>Mar 05 2026 12:42 PM</t>
  </si>
  <si>
    <t>62</t>
  </si>
  <si>
    <t>Mar 04 2026 10:57 AM</t>
  </si>
  <si>
    <t>61</t>
  </si>
  <si>
    <t>Feb 27 2026 11:28 AM</t>
  </si>
  <si>
    <t>12</t>
  </si>
  <si>
    <t>In your opinion, how much of your country's military should be mobilized to mitigate or assist in resource scarcities (e.g. large-scale water shortage, long-term power outages, food security)?</t>
  </si>
  <si>
    <t>14</t>
  </si>
  <si>
    <t>57</t>
  </si>
  <si>
    <t>32</t>
  </si>
  <si>
    <t>96</t>
  </si>
  <si>
    <t>27</t>
  </si>
  <si>
    <t>64</t>
  </si>
  <si>
    <t>In your opinion, how much of your country's military should be mobilized to defend against an domestic terrorist attack/threat?</t>
  </si>
  <si>
    <t>39</t>
  </si>
  <si>
    <t>31</t>
  </si>
  <si>
    <t>13</t>
  </si>
  <si>
    <t>68</t>
  </si>
  <si>
    <t>In your opinion, how much of your country's military should be mobilized to defend against civil unrest or domestic armed conflict?</t>
  </si>
  <si>
    <t>42</t>
  </si>
  <si>
    <t>11</t>
  </si>
  <si>
    <t>7</t>
  </si>
  <si>
    <t>33</t>
  </si>
  <si>
    <t>Percentage</t>
  </si>
  <si>
    <t>United States (31)</t>
  </si>
  <si>
    <t>Africa (6)</t>
  </si>
  <si>
    <t>Asia (14)</t>
  </si>
  <si>
    <t>Europe (15)</t>
  </si>
  <si>
    <t>North America (33)</t>
  </si>
  <si>
    <t>Pacific (3)</t>
  </si>
  <si>
    <t>South America (2)</t>
  </si>
  <si>
    <t>All Countries (86)</t>
  </si>
  <si>
    <t>Asia (16)</t>
  </si>
  <si>
    <t>All Countries (75)</t>
  </si>
  <si>
    <t>Africa (5)</t>
  </si>
  <si>
    <t>Europe (13)</t>
  </si>
  <si>
    <t>Bangladesh</t>
  </si>
  <si>
    <t>Mexico</t>
  </si>
  <si>
    <t>Norway</t>
  </si>
  <si>
    <t>Bulgaria</t>
  </si>
  <si>
    <t>Sri Lanka</t>
  </si>
  <si>
    <t>Other</t>
  </si>
  <si>
    <t>Saudi Arabia</t>
  </si>
  <si>
    <t xml:space="preserve">Nicaragua </t>
  </si>
  <si>
    <t>Countries (40)</t>
  </si>
  <si>
    <t>Line Percent</t>
  </si>
  <si>
    <t>START X</t>
  </si>
  <si>
    <t>START Y</t>
  </si>
  <si>
    <t>END X</t>
  </si>
  <si>
    <t>Threshold</t>
  </si>
  <si>
    <t>X</t>
  </si>
  <si>
    <t>Y</t>
  </si>
  <si>
    <t>Disaster</t>
  </si>
  <si>
    <t>International Terrorist</t>
  </si>
  <si>
    <t>War</t>
  </si>
  <si>
    <t>Drugs</t>
  </si>
  <si>
    <t>Domestic Terrorism</t>
  </si>
  <si>
    <t>Resource Scarcities</t>
  </si>
  <si>
    <t>Civil Unrest</t>
  </si>
  <si>
    <t>Drought</t>
  </si>
  <si>
    <t>Earthquake</t>
  </si>
  <si>
    <t>Extreme Temp</t>
  </si>
  <si>
    <t>Flood</t>
  </si>
  <si>
    <t>Mass Movement</t>
  </si>
  <si>
    <t>Storm</t>
  </si>
  <si>
    <t>Volcano</t>
  </si>
  <si>
    <t>Wildfire</t>
  </si>
  <si>
    <t>%</t>
  </si>
  <si>
    <t>LINES</t>
  </si>
  <si>
    <t>POINTS</t>
  </si>
  <si>
    <t>Drought Line</t>
  </si>
  <si>
    <t>Earthquake Line</t>
  </si>
  <si>
    <t>Flood Line</t>
  </si>
  <si>
    <t>Mass Movement Line</t>
  </si>
  <si>
    <t>Storm Line</t>
  </si>
  <si>
    <t>Volcano Line</t>
  </si>
  <si>
    <t>Int. Terrorism</t>
  </si>
  <si>
    <t>Combating Drugs</t>
  </si>
  <si>
    <t>Civil Unrest/Violence</t>
  </si>
  <si>
    <t>Vulnerable Points</t>
  </si>
  <si>
    <t>Continent</t>
  </si>
  <si>
    <t>AVG</t>
  </si>
  <si>
    <t>Min/Max</t>
  </si>
  <si>
    <t>Extreme Temp Line</t>
  </si>
  <si>
    <t>Wildfire Line</t>
  </si>
  <si>
    <t>EXT TEMP</t>
  </si>
  <si>
    <t>Global</t>
  </si>
  <si>
    <t>Region</t>
  </si>
  <si>
    <t>Average Personnel</t>
  </si>
  <si>
    <t>Median Personnel</t>
  </si>
  <si>
    <t>Minimum (Country)</t>
  </si>
  <si>
    <t>Maximum (Country)</t>
  </si>
  <si>
    <t>The Pacific</t>
  </si>
  <si>
    <t>GLOBAL</t>
  </si>
  <si>
    <t>1,000.0 (Cabo Verde)</t>
  </si>
  <si>
    <t>836,000.0 (Egypt)</t>
  </si>
  <si>
    <t>2,000.0 (Malta)</t>
  </si>
  <si>
    <t>3,068,000.0 (India)</t>
  </si>
  <si>
    <t>1,000.0 (Luxembourg)</t>
  </si>
  <si>
    <t>1,454,000.0 (Russia)</t>
  </si>
  <si>
    <t>1,000.0 (Barbados)</t>
  </si>
  <si>
    <t>1,395,000.0 (USA)</t>
  </si>
  <si>
    <t>2,000.0 (Suriname)</t>
  </si>
  <si>
    <t>762,000.0 (Brazil)</t>
  </si>
  <si>
    <t>4,000.0 (Fiji)</t>
  </si>
  <si>
    <t>60,000.0 (Australia)</t>
  </si>
  <si>
    <t>Ext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</si>
</sst>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rgb="FF333333"/>
      <name val="Arial"/>
    </font>
    <font>
      <b/>
      <sz val="12"/>
      <color rgb="FF333333"/>
      <name val="Arial"/>
    </font>
    <font>
      <sz val="11"/>
      <color rgb="FF333333"/>
      <name val="Arial"/>
    </font>
    <font>
      <b/>
      <sz val="11"/>
      <color rgb="FF333333"/>
      <name val="Arial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AEAE8"/>
        <bgColor rgb="FFEAEAE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10" fontId="3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quotePrefix="1" applyFont="1"/>
    <xf numFmtId="0" fontId="4" fillId="0" borderId="0" xfId="0" quotePrefix="1" applyFont="1"/>
    <xf numFmtId="0" fontId="3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9" fontId="0" fillId="4" borderId="4" xfId="0" applyNumberFormat="1" applyFill="1" applyBorder="1" applyAlignment="1">
      <alignment horizontal="left"/>
    </xf>
    <xf numFmtId="9" fontId="0" fillId="3" borderId="4" xfId="0" applyNumberForma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6" borderId="0" xfId="0" applyFill="1"/>
    <xf numFmtId="0" fontId="9" fillId="0" borderId="6" xfId="0" applyFont="1" applyBorder="1" applyAlignment="1">
      <alignment wrapText="1"/>
    </xf>
    <xf numFmtId="0" fontId="9" fillId="0" borderId="6" xfId="0" applyFont="1" applyBorder="1" applyAlignment="1">
      <alignment vertical="center"/>
    </xf>
    <xf numFmtId="4" fontId="9" fillId="0" borderId="6" xfId="0" applyNumberFormat="1" applyFont="1" applyBorder="1" applyAlignment="1">
      <alignment horizontal="right" wrapText="1"/>
    </xf>
    <xf numFmtId="0" fontId="0" fillId="5" borderId="1" xfId="0" applyFill="1" applyBorder="1"/>
    <xf numFmtId="4" fontId="10" fillId="0" borderId="6" xfId="0" applyNumberFormat="1" applyFont="1" applyBorder="1" applyAlignment="1">
      <alignment horizontal="right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11"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3" formatCode="0%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D2FA90"/>
      <color rgb="FFF0F793"/>
      <color rgb="FFFC8C04"/>
      <color rgb="FFFC92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Do you understand the above and agree to participate?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Admin!$B$3</c:f>
              <c:strCache>
                <c:ptCount val="1"/>
                <c:pt idx="0">
                  <c:v>Responses</c:v>
                </c:pt>
              </c:strCache>
            </c:strRef>
          </c:tx>
          <c:spPr>
            <a:solidFill>
              <a:srgbClr val="00BF6F"/>
            </a:solidFill>
            <a:ln>
              <a:prstDash val="solid"/>
            </a:ln>
          </c:spPr>
          <c:invertIfNegative val="0"/>
          <c:cat>
            <c:strRef>
              <c:f>Admin!$A$4:$A$5</c:f>
              <c:strCache>
                <c:ptCount val="2"/>
                <c:pt idx="0">
                  <c:v>I consent and wish to proceed</c:v>
                </c:pt>
                <c:pt idx="1">
                  <c:v>I do not consent</c:v>
                </c:pt>
              </c:strCache>
            </c:strRef>
          </c:cat>
          <c:val>
            <c:numRef>
              <c:f>Admin!$B$4:$B$5</c:f>
              <c:numCache>
                <c:formatCode>0.00%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5-4283-BA5F-682792093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What is your title?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Lbls>
            <c:dLbl>
              <c:idx val="1"/>
              <c:layout>
                <c:manualLayout>
                  <c:x val="0"/>
                  <c:y val="-1.56790123456790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027-4027-B302-48751497C03D}"/>
                </c:ext>
              </c:extLst>
            </c:dLbl>
            <c:dLbl>
              <c:idx val="3"/>
              <c:layout>
                <c:manualLayout>
                  <c:x val="-8.6233571723655416E-17"/>
                  <c:y val="1.1759259259259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27-4027-B302-48751497C03D}"/>
                </c:ext>
              </c:extLst>
            </c:dLbl>
            <c:dLbl>
              <c:idx val="4"/>
              <c:layout>
                <c:manualLayout>
                  <c:x val="0"/>
                  <c:y val="-1.1759259259259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27-4027-B302-48751497C03D}"/>
                </c:ext>
              </c:extLst>
            </c:dLbl>
            <c:dLbl>
              <c:idx val="5"/>
              <c:layout>
                <c:manualLayout>
                  <c:x val="0"/>
                  <c:y val="-1.1759259259259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027-4027-B302-48751497C0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Titles!$A$4:$A$9</c:f>
              <c:strCache>
                <c:ptCount val="6"/>
                <c:pt idx="0">
                  <c:v>Military Officer</c:v>
                </c:pt>
                <c:pt idx="1">
                  <c:v>Retired Military</c:v>
                </c:pt>
                <c:pt idx="2">
                  <c:v>Civilian</c:v>
                </c:pt>
                <c:pt idx="3">
                  <c:v>Teacher/Professor</c:v>
                </c:pt>
                <c:pt idx="4">
                  <c:v>Government Employee</c:v>
                </c:pt>
                <c:pt idx="5">
                  <c:v>Other</c:v>
                </c:pt>
              </c:strCache>
            </c:strRef>
          </c:cat>
          <c:val>
            <c:numRef>
              <c:f>Titles!$C$4:$C$9</c:f>
              <c:numCache>
                <c:formatCode>General</c:formatCode>
                <c:ptCount val="6"/>
                <c:pt idx="0">
                  <c:v>49</c:v>
                </c:pt>
                <c:pt idx="1">
                  <c:v>1</c:v>
                </c:pt>
                <c:pt idx="2">
                  <c:v>3</c:v>
                </c:pt>
                <c:pt idx="3">
                  <c:v>21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027-4027-B302-48751497C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</a:t>
                </a:r>
                <a:r>
                  <a:rPr lang="en-US" baseline="0"/>
                  <a:t> Responses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What is your primary line of work?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'Line of Work'!$B$3</c:f>
              <c:strCache>
                <c:ptCount val="1"/>
                <c:pt idx="0">
                  <c:v>Responses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0"/>
                  <c:y val="-1.56790123456790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23-41D9-BB1C-CEF051CB82BE}"/>
                </c:ext>
              </c:extLst>
            </c:dLbl>
            <c:dLbl>
              <c:idx val="3"/>
              <c:layout>
                <c:manualLayout>
                  <c:x val="-8.6233571723655416E-17"/>
                  <c:y val="1.1759259259259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23-41D9-BB1C-CEF051CB82BE}"/>
                </c:ext>
              </c:extLst>
            </c:dLbl>
            <c:dLbl>
              <c:idx val="4"/>
              <c:layout>
                <c:manualLayout>
                  <c:x val="-8.6233571723655416E-17"/>
                  <c:y val="-7.186130976971284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23-41D9-BB1C-CEF051CB82BE}"/>
                </c:ext>
              </c:extLst>
            </c:dLbl>
            <c:dLbl>
              <c:idx val="5"/>
              <c:layout>
                <c:manualLayout>
                  <c:x val="0"/>
                  <c:y val="3.91975308641975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23-41D9-BB1C-CEF051CB82B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'Line of Work'!$A$4:$A$9</c:f>
              <c:strCache>
                <c:ptCount val="6"/>
                <c:pt idx="0">
                  <c:v>Military - Active Duty</c:v>
                </c:pt>
                <c:pt idx="1">
                  <c:v>Military - Reserve or Other Component</c:v>
                </c:pt>
                <c:pt idx="2">
                  <c:v>Medicine / Health Care - Military or Civilian</c:v>
                </c:pt>
                <c:pt idx="3">
                  <c:v>Humanitarian Assistance</c:v>
                </c:pt>
                <c:pt idx="4">
                  <c:v>Academia (Professor, teacher, researcher)</c:v>
                </c:pt>
                <c:pt idx="5">
                  <c:v>Urban and Regional Planning</c:v>
                </c:pt>
              </c:strCache>
            </c:strRef>
          </c:cat>
          <c:val>
            <c:numRef>
              <c:f>'Line of Work'!$C$4:$C$9</c:f>
              <c:numCache>
                <c:formatCode>General</c:formatCode>
                <c:ptCount val="6"/>
                <c:pt idx="0">
                  <c:v>47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23-41D9-BB1C-CEF051CB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Responses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What is your primary line of work?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6'!$B$3</c:f>
              <c:strCache>
                <c:ptCount val="1"/>
                <c:pt idx="0">
                  <c:v>Responses</c:v>
                </c:pt>
              </c:strCache>
            </c:strRef>
          </c:tx>
          <c:spPr>
            <a:solidFill>
              <a:srgbClr val="00BF6F"/>
            </a:solidFill>
            <a:ln>
              <a:prstDash val="solid"/>
            </a:ln>
          </c:spPr>
          <c:invertIfNegative val="0"/>
          <c:cat>
            <c:strRef>
              <c:f>'Question 6'!$A$4:$A$13</c:f>
              <c:strCache>
                <c:ptCount val="10"/>
                <c:pt idx="0">
                  <c:v>Military - Active Duty</c:v>
                </c:pt>
                <c:pt idx="1">
                  <c:v>Military - Reserve or Other Component</c:v>
                </c:pt>
                <c:pt idx="2">
                  <c:v>Medicine / Health Care - Military or Civilian</c:v>
                </c:pt>
                <c:pt idx="3">
                  <c:v>Emergency Management</c:v>
                </c:pt>
                <c:pt idx="4">
                  <c:v>Humanitarian Assistance</c:v>
                </c:pt>
                <c:pt idx="5">
                  <c:v>Disaster Management</c:v>
                </c:pt>
                <c:pt idx="6">
                  <c:v>Academia (Professor, teacher, researcher)</c:v>
                </c:pt>
                <c:pt idx="7">
                  <c:v>Government</c:v>
                </c:pt>
                <c:pt idx="8">
                  <c:v>Urban and Regional Planning</c:v>
                </c:pt>
                <c:pt idx="9">
                  <c:v>Other (please specify)</c:v>
                </c:pt>
              </c:strCache>
            </c:strRef>
          </c:cat>
          <c:val>
            <c:numRef>
              <c:f>'Question 6'!$B$4:$B$13</c:f>
              <c:numCache>
                <c:formatCode>0.00%</c:formatCode>
                <c:ptCount val="10"/>
                <c:pt idx="0">
                  <c:v>0.61039999999999994</c:v>
                </c:pt>
                <c:pt idx="1">
                  <c:v>2.5999999999999999E-2</c:v>
                </c:pt>
                <c:pt idx="2">
                  <c:v>1.2999999999999999E-2</c:v>
                </c:pt>
                <c:pt idx="3">
                  <c:v>0</c:v>
                </c:pt>
                <c:pt idx="4">
                  <c:v>1.2999999999999999E-2</c:v>
                </c:pt>
                <c:pt idx="5">
                  <c:v>0</c:v>
                </c:pt>
                <c:pt idx="6">
                  <c:v>0.32469999999999999</c:v>
                </c:pt>
                <c:pt idx="7">
                  <c:v>0</c:v>
                </c:pt>
                <c:pt idx="8">
                  <c:v>1.2999999999999999E-2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1-4C0E-95F0-6D4592DE7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defend against an international terrorist attack/threat?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'Q1'!$A$4:$A$11</c:f>
              <c:strCache>
                <c:ptCount val="8"/>
                <c:pt idx="0">
                  <c:v>All Countries (86)</c:v>
                </c:pt>
                <c:pt idx="1">
                  <c:v>Africa (6)</c:v>
                </c:pt>
                <c:pt idx="2">
                  <c:v>Asia (16)</c:v>
                </c:pt>
                <c:pt idx="3">
                  <c:v>Europe (15)</c:v>
                </c:pt>
                <c:pt idx="4">
                  <c:v>Pacific (3)</c:v>
                </c:pt>
                <c:pt idx="5">
                  <c:v>South America (2)</c:v>
                </c:pt>
                <c:pt idx="6">
                  <c:v>North America (33)</c:v>
                </c:pt>
                <c:pt idx="7">
                  <c:v>United States (31)</c:v>
                </c:pt>
              </c:strCache>
            </c:strRef>
          </c:cat>
          <c:val>
            <c:numRef>
              <c:f>'Q1'!$B$4:$B$11</c:f>
              <c:numCache>
                <c:formatCode>General</c:formatCode>
                <c:ptCount val="8"/>
                <c:pt idx="0">
                  <c:v>36.36</c:v>
                </c:pt>
                <c:pt idx="1">
                  <c:v>41.83</c:v>
                </c:pt>
                <c:pt idx="2">
                  <c:v>31.64</c:v>
                </c:pt>
                <c:pt idx="3">
                  <c:v>23.8</c:v>
                </c:pt>
                <c:pt idx="4">
                  <c:v>30</c:v>
                </c:pt>
                <c:pt idx="5">
                  <c:v>83</c:v>
                </c:pt>
                <c:pt idx="6">
                  <c:v>38.36</c:v>
                </c:pt>
                <c:pt idx="7">
                  <c:v>37.450000000000003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BFA-4B90-8D5F-E22CA36FEC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  <a:r>
                  <a:rPr lang="en-US" baseline="0"/>
                  <a:t> of Personnel (Average)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8814814814814815E-2"/>
              <c:y val="0.36807469135802467"/>
            </c:manualLayout>
          </c:layout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In your opinion, how much of your country's military should be mobilized to participate in a war against a peer-to-peer threat or country with similar capabilities and technology?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'Q2'!$B$3</c:f>
              <c:strCache>
                <c:ptCount val="1"/>
                <c:pt idx="0">
                  <c:v>Percentage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'Q2'!$A$4:$A$11</c:f>
              <c:strCache>
                <c:ptCount val="8"/>
                <c:pt idx="0">
                  <c:v>All Countries (86)</c:v>
                </c:pt>
                <c:pt idx="1">
                  <c:v>Africa (6)</c:v>
                </c:pt>
                <c:pt idx="2">
                  <c:v>Asia (16)</c:v>
                </c:pt>
                <c:pt idx="3">
                  <c:v>Europe (15)</c:v>
                </c:pt>
                <c:pt idx="4">
                  <c:v>Pacific (3)</c:v>
                </c:pt>
                <c:pt idx="5">
                  <c:v>South America (2)</c:v>
                </c:pt>
                <c:pt idx="6">
                  <c:v>North America (33)</c:v>
                </c:pt>
                <c:pt idx="7">
                  <c:v>United States (31)</c:v>
                </c:pt>
              </c:strCache>
            </c:strRef>
          </c:cat>
          <c:val>
            <c:numRef>
              <c:f>'Q2'!$B$4:$B$11</c:f>
              <c:numCache>
                <c:formatCode>General</c:formatCode>
                <c:ptCount val="8"/>
                <c:pt idx="0">
                  <c:v>70.790000000000006</c:v>
                </c:pt>
                <c:pt idx="1">
                  <c:v>44.16</c:v>
                </c:pt>
                <c:pt idx="2">
                  <c:v>73.375</c:v>
                </c:pt>
                <c:pt idx="3">
                  <c:v>77.665999999999997</c:v>
                </c:pt>
                <c:pt idx="4">
                  <c:v>42.67</c:v>
                </c:pt>
                <c:pt idx="5">
                  <c:v>98.5</c:v>
                </c:pt>
                <c:pt idx="6">
                  <c:v>74.760000000000005</c:v>
                </c:pt>
                <c:pt idx="7">
                  <c:v>76.680000000000007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8-4B17-B0AC-AE362B968A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Percentage of Personnel (Average)</a:t>
                </a:r>
              </a:p>
            </c:rich>
          </c:tx>
          <c:layout>
            <c:manualLayout>
              <c:xMode val="edge"/>
              <c:yMode val="edge"/>
              <c:x val="1.8814814814814815E-2"/>
              <c:y val="0.36807469135802467"/>
            </c:manualLayout>
          </c:layout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defend against illegal drugs, drug trafficking, and drug distribution?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Percentage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'Q3'!$A$4:$A$11</c:f>
              <c:strCache>
                <c:ptCount val="8"/>
                <c:pt idx="0">
                  <c:v>All Countries (75)</c:v>
                </c:pt>
                <c:pt idx="1">
                  <c:v>Africa (5)</c:v>
                </c:pt>
                <c:pt idx="2">
                  <c:v>Asia (14)</c:v>
                </c:pt>
                <c:pt idx="3">
                  <c:v>Europe (13)</c:v>
                </c:pt>
                <c:pt idx="4">
                  <c:v>Pacific (3)</c:v>
                </c:pt>
                <c:pt idx="5">
                  <c:v>South America (2)</c:v>
                </c:pt>
                <c:pt idx="6">
                  <c:v>North America (33)</c:v>
                </c:pt>
                <c:pt idx="7">
                  <c:v>United States (31)</c:v>
                </c:pt>
              </c:strCache>
            </c:strRef>
          </c:cat>
          <c:val>
            <c:numRef>
              <c:f>'Q3'!$B$4:$B$11</c:f>
              <c:numCache>
                <c:formatCode>General</c:formatCode>
                <c:ptCount val="8"/>
                <c:pt idx="0">
                  <c:v>20.440000000000001</c:v>
                </c:pt>
                <c:pt idx="1">
                  <c:v>49.2</c:v>
                </c:pt>
                <c:pt idx="2">
                  <c:v>16.64</c:v>
                </c:pt>
                <c:pt idx="3">
                  <c:v>18.149999999999999</c:v>
                </c:pt>
                <c:pt idx="4">
                  <c:v>50</c:v>
                </c:pt>
                <c:pt idx="5">
                  <c:v>63.5</c:v>
                </c:pt>
                <c:pt idx="6">
                  <c:v>15.97</c:v>
                </c:pt>
                <c:pt idx="7">
                  <c:v>13.45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C-44CD-984E-B0E5F59231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Percentage of Personnel (Average)</a:t>
                </a:r>
              </a:p>
            </c:rich>
          </c:tx>
          <c:layout>
            <c:manualLayout>
              <c:xMode val="edge"/>
              <c:yMode val="edge"/>
              <c:x val="1.8814814814814815E-2"/>
              <c:y val="0.36807469135802467"/>
            </c:manualLayout>
          </c:layout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participate in a war against a peer-to-peer threat or country with similar capabilities and technology?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3'!$B$3</c:f>
              <c:strCache>
                <c:ptCount val="1"/>
                <c:pt idx="0">
                  <c:v>Average Number</c:v>
                </c:pt>
              </c:strCache>
            </c:strRef>
          </c:tx>
          <c:spPr>
            <a:solidFill>
              <a:srgbClr val="00BF6F"/>
            </a:solidFill>
            <a:ln>
              <a:prstDash val="solid"/>
            </a:ln>
          </c:spPr>
          <c:invertIfNegative val="0"/>
          <c:cat>
            <c:strRef>
              <c:f>'Question 3'!$A$4</c:f>
              <c:strCache>
                <c:ptCount val="1"/>
                <c:pt idx="0">
                  <c:v>(no label)</c:v>
                </c:pt>
              </c:strCache>
            </c:strRef>
          </c:cat>
          <c:val>
            <c:numRef>
              <c:f>'Question 3'!$B$4</c:f>
              <c:numCache>
                <c:formatCode>General</c:formatCode>
                <c:ptCount val="1"/>
                <c:pt idx="0">
                  <c:v>70.790697674418595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A-48D0-B311-C8A06631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defend against illegal drugs, drug trafficking, and drug distribution?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7'!$B$3</c:f>
              <c:strCache>
                <c:ptCount val="1"/>
                <c:pt idx="0">
                  <c:v>Average Number</c:v>
                </c:pt>
              </c:strCache>
            </c:strRef>
          </c:tx>
          <c:spPr>
            <a:solidFill>
              <a:srgbClr val="00BF6F"/>
            </a:solidFill>
            <a:ln>
              <a:prstDash val="solid"/>
            </a:ln>
          </c:spPr>
          <c:invertIfNegative val="0"/>
          <c:cat>
            <c:strRef>
              <c:f>'Question 7'!$A$4</c:f>
              <c:strCache>
                <c:ptCount val="1"/>
                <c:pt idx="0">
                  <c:v>(no label)</c:v>
                </c:pt>
              </c:strCache>
            </c:strRef>
          </c:cat>
          <c:val>
            <c:numRef>
              <c:f>'Question 7'!$B$4</c:f>
              <c:numCache>
                <c:formatCode>General</c:formatCode>
                <c:ptCount val="1"/>
                <c:pt idx="0">
                  <c:v>20.440000000000001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8-4F80-B723-BEB9BD018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/>
              <a:t>In your opinion, how much of your country's military should be mobilized to mitigate or assist in resource scarcities (e.g. large-scale water shortage, long-term power outages, food security)?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'Q4'!$B$3</c:f>
              <c:strCache>
                <c:ptCount val="1"/>
                <c:pt idx="0">
                  <c:v>Percentage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'Q4'!$A$4:$A$11</c:f>
              <c:strCache>
                <c:ptCount val="8"/>
                <c:pt idx="0">
                  <c:v>All Countries (75)</c:v>
                </c:pt>
                <c:pt idx="1">
                  <c:v>Africa (5)</c:v>
                </c:pt>
                <c:pt idx="2">
                  <c:v>Asia (14)</c:v>
                </c:pt>
                <c:pt idx="3">
                  <c:v>Europe (13)</c:v>
                </c:pt>
                <c:pt idx="4">
                  <c:v>Pacific (3)</c:v>
                </c:pt>
                <c:pt idx="5">
                  <c:v>South America (2)</c:v>
                </c:pt>
                <c:pt idx="6">
                  <c:v>North America (33)</c:v>
                </c:pt>
                <c:pt idx="7">
                  <c:v>United States (31)</c:v>
                </c:pt>
              </c:strCache>
            </c:strRef>
          </c:cat>
          <c:val>
            <c:numRef>
              <c:f>'Q4'!$B$4:$B$11</c:f>
              <c:numCache>
                <c:formatCode>General</c:formatCode>
                <c:ptCount val="8"/>
                <c:pt idx="0">
                  <c:v>29.84</c:v>
                </c:pt>
                <c:pt idx="1">
                  <c:v>59.6</c:v>
                </c:pt>
                <c:pt idx="2">
                  <c:v>21.64</c:v>
                </c:pt>
                <c:pt idx="3">
                  <c:v>29</c:v>
                </c:pt>
                <c:pt idx="4">
                  <c:v>51.67</c:v>
                </c:pt>
                <c:pt idx="5">
                  <c:v>66</c:v>
                </c:pt>
                <c:pt idx="6">
                  <c:v>21.12</c:v>
                </c:pt>
                <c:pt idx="7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8-4452-885F-2A8DC9C8C3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Percentage of Personnel (Average)</a:t>
                </a:r>
              </a:p>
            </c:rich>
          </c:tx>
          <c:layout>
            <c:manualLayout>
              <c:xMode val="edge"/>
              <c:yMode val="edge"/>
              <c:x val="1.8814814814814815E-2"/>
              <c:y val="0.36807469135802467"/>
            </c:manualLayout>
          </c:layout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mitigate or assist in resource scarcities (e.g. large-scale water shortage, long-term power outages, food security)?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8'!$B$3</c:f>
              <c:strCache>
                <c:ptCount val="1"/>
                <c:pt idx="0">
                  <c:v>Average Number</c:v>
                </c:pt>
              </c:strCache>
            </c:strRef>
          </c:tx>
          <c:spPr>
            <a:solidFill>
              <a:srgbClr val="00BF6F"/>
            </a:solidFill>
            <a:ln>
              <a:prstDash val="solid"/>
            </a:ln>
          </c:spPr>
          <c:invertIfNegative val="0"/>
          <c:cat>
            <c:strRef>
              <c:f>'Question 8'!$A$4</c:f>
              <c:strCache>
                <c:ptCount val="1"/>
                <c:pt idx="0">
                  <c:v>(no label)</c:v>
                </c:pt>
              </c:strCache>
            </c:strRef>
          </c:cat>
          <c:val>
            <c:numRef>
              <c:f>'Question 8'!$B$4</c:f>
              <c:numCache>
                <c:formatCode>General</c:formatCode>
                <c:ptCount val="1"/>
                <c:pt idx="0">
                  <c:v>29.84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9-4FB0-992F-2BDE29DFC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defend against an domestic terrorist attack/threat?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'Q5'!$B$3</c:f>
              <c:strCache>
                <c:ptCount val="1"/>
                <c:pt idx="0">
                  <c:v>Percentage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'Q5'!$A$4:$A$11</c:f>
              <c:strCache>
                <c:ptCount val="8"/>
                <c:pt idx="0">
                  <c:v>All Countries (75)</c:v>
                </c:pt>
                <c:pt idx="1">
                  <c:v>Africa (5)</c:v>
                </c:pt>
                <c:pt idx="2">
                  <c:v>Asia (14)</c:v>
                </c:pt>
                <c:pt idx="3">
                  <c:v>Europe (13)</c:v>
                </c:pt>
                <c:pt idx="4">
                  <c:v>Pacific (3)</c:v>
                </c:pt>
                <c:pt idx="5">
                  <c:v>South America (2)</c:v>
                </c:pt>
                <c:pt idx="6">
                  <c:v>North America (33)</c:v>
                </c:pt>
                <c:pt idx="7">
                  <c:v>United States (31)</c:v>
                </c:pt>
              </c:strCache>
            </c:strRef>
          </c:cat>
          <c:val>
            <c:numRef>
              <c:f>'Q5'!$B$4:$B$11</c:f>
              <c:numCache>
                <c:formatCode>General</c:formatCode>
                <c:ptCount val="8"/>
                <c:pt idx="0">
                  <c:v>26.12</c:v>
                </c:pt>
                <c:pt idx="1">
                  <c:v>65.2</c:v>
                </c:pt>
                <c:pt idx="2">
                  <c:v>31.64</c:v>
                </c:pt>
                <c:pt idx="3">
                  <c:v>16.850000000000001</c:v>
                </c:pt>
                <c:pt idx="4">
                  <c:v>10</c:v>
                </c:pt>
                <c:pt idx="5">
                  <c:v>42.5</c:v>
                </c:pt>
                <c:pt idx="6">
                  <c:v>21.12</c:v>
                </c:pt>
                <c:pt idx="7">
                  <c:v>18.77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B-46EB-85BC-3814093305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Percentage of Personnel (Average)</a:t>
                </a:r>
              </a:p>
            </c:rich>
          </c:tx>
          <c:layout>
            <c:manualLayout>
              <c:xMode val="edge"/>
              <c:yMode val="edge"/>
              <c:x val="1.8814814814814815E-2"/>
              <c:y val="0.36807469135802467"/>
            </c:manualLayout>
          </c:layout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defend against an domestic terrorist attack/threat?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9'!$B$3</c:f>
              <c:strCache>
                <c:ptCount val="1"/>
                <c:pt idx="0">
                  <c:v>Average Number</c:v>
                </c:pt>
              </c:strCache>
            </c:strRef>
          </c:tx>
          <c:spPr>
            <a:solidFill>
              <a:srgbClr val="00BF6F"/>
            </a:solidFill>
            <a:ln>
              <a:prstDash val="solid"/>
            </a:ln>
          </c:spPr>
          <c:invertIfNegative val="0"/>
          <c:cat>
            <c:strRef>
              <c:f>'Question 9'!$A$4</c:f>
              <c:strCache>
                <c:ptCount val="1"/>
                <c:pt idx="0">
                  <c:v>(no label)</c:v>
                </c:pt>
              </c:strCache>
            </c:strRef>
          </c:cat>
          <c:val>
            <c:numRef>
              <c:f>'Question 9'!$B$4</c:f>
              <c:numCache>
                <c:formatCode>General</c:formatCode>
                <c:ptCount val="1"/>
                <c:pt idx="0">
                  <c:v>26.12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0-4E87-B179-DD8839C6D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defend against civil unrest or domestic armed conflict?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'Q6'!$B$3</c:f>
              <c:strCache>
                <c:ptCount val="1"/>
                <c:pt idx="0">
                  <c:v>Percentage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'Q6'!$A$4:$A$11</c:f>
              <c:strCache>
                <c:ptCount val="8"/>
                <c:pt idx="0">
                  <c:v>All Countries (75)</c:v>
                </c:pt>
                <c:pt idx="1">
                  <c:v>Africa (5)</c:v>
                </c:pt>
                <c:pt idx="2">
                  <c:v>Asia (14)</c:v>
                </c:pt>
                <c:pt idx="3">
                  <c:v>Europe (13)</c:v>
                </c:pt>
                <c:pt idx="4">
                  <c:v>Pacific (3)</c:v>
                </c:pt>
                <c:pt idx="5">
                  <c:v>South America (2)</c:v>
                </c:pt>
                <c:pt idx="6">
                  <c:v>North America (33)</c:v>
                </c:pt>
                <c:pt idx="7">
                  <c:v>United States (31)</c:v>
                </c:pt>
              </c:strCache>
            </c:strRef>
          </c:cat>
          <c:val>
            <c:numRef>
              <c:f>'Q6'!$B$4:$B$11</c:f>
              <c:numCache>
                <c:formatCode>General</c:formatCode>
                <c:ptCount val="8"/>
                <c:pt idx="0">
                  <c:v>19.829999999999998</c:v>
                </c:pt>
                <c:pt idx="1">
                  <c:v>49.6</c:v>
                </c:pt>
                <c:pt idx="2">
                  <c:v>19.14</c:v>
                </c:pt>
                <c:pt idx="3">
                  <c:v>24.38</c:v>
                </c:pt>
                <c:pt idx="4">
                  <c:v>6.67</c:v>
                </c:pt>
                <c:pt idx="5">
                  <c:v>21</c:v>
                </c:pt>
                <c:pt idx="6">
                  <c:v>11.88</c:v>
                </c:pt>
                <c:pt idx="7">
                  <c:v>11.48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8-47D3-B0F9-21113B0C5E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  <c:max val="1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Percentage of Personnel (Average)</a:t>
                </a:r>
              </a:p>
            </c:rich>
          </c:tx>
          <c:layout>
            <c:manualLayout>
              <c:xMode val="edge"/>
              <c:yMode val="edge"/>
              <c:x val="1.8814814814814815E-2"/>
              <c:y val="0.36807469135802467"/>
            </c:manualLayout>
          </c:layout>
          <c:overlay val="0"/>
        </c:title>
        <c:numFmt formatCode="General" sourceLinked="1"/>
        <c:majorTickMark val="out"/>
        <c:minorTickMark val="in"/>
        <c:tickLblPos val="nextTo"/>
        <c:spPr>
          <a:ln/>
        </c:spPr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GLOBAL MILITARY CAPACITY</a:t>
            </a:r>
          </a:p>
        </c:rich>
      </c:tx>
      <c:layout>
        <c:manualLayout>
          <c:xMode val="edge"/>
          <c:yMode val="edge"/>
          <c:x val="0.25003171500331561"/>
          <c:y val="1.8259069094927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'Global Plot_Median'!$O$4:$O$5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E-4809-9E0C-03014C342CB0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'Global Plot_Median'!$O$6:$O$7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E-4809-9E0C-03014C342CB0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Plot_Median'!$O$8:$O$9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1E-4809-9E0C-03014C342CB0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'Global Plot_Median'!$R$25:$R$32</c:f>
              <c:numCache>
                <c:formatCode>General</c:formatCode>
                <c:ptCount val="8"/>
                <c:pt idx="0">
                  <c:v>34.928378378378376</c:v>
                </c:pt>
              </c:numCache>
            </c:numRef>
          </c:xVal>
          <c:yVal>
            <c:numRef>
              <c:f>'Global Plot_Median'!$S$25:$S$32</c:f>
              <c:numCache>
                <c:formatCode>General</c:formatCode>
                <c:ptCount val="8"/>
                <c:pt idx="0">
                  <c:v>70.790000000000006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1E-4809-9E0C-03014C342CB0}"/>
            </c:ext>
          </c:extLst>
        </c:ser>
        <c:ser>
          <c:idx val="5"/>
          <c:order val="4"/>
          <c:tx>
            <c:v>Drought Line</c:v>
          </c:tx>
          <c:spPr>
            <a:ln w="3810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Plot_Median'!$N$10:$N$11</c:f>
              <c:numCache>
                <c:formatCode>General</c:formatCode>
                <c:ptCount val="2"/>
                <c:pt idx="0">
                  <c:v>34.928378378378376</c:v>
                </c:pt>
                <c:pt idx="1">
                  <c:v>34.928378378378376</c:v>
                </c:pt>
              </c:numCache>
            </c:numRef>
          </c:xVal>
          <c:yVal>
            <c:numRef>
              <c:f>'Global Plot_Median'!$O$10:$O$11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1E-4809-9E0C-03014C342CB0}"/>
            </c:ext>
          </c:extLst>
        </c:ser>
        <c:ser>
          <c:idx val="3"/>
          <c:order val="5"/>
          <c:tx>
            <c:strRef>
              <c:f>'Global Plot_Median'!$M$12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Plot_Median'!$N$12:$N$13</c:f>
              <c:numCache>
                <c:formatCode>General</c:formatCode>
                <c:ptCount val="2"/>
                <c:pt idx="0">
                  <c:v>7.5675675675675684</c:v>
                </c:pt>
                <c:pt idx="1">
                  <c:v>7.5675675675675684</c:v>
                </c:pt>
              </c:numCache>
            </c:numRef>
          </c:xVal>
          <c:yVal>
            <c:numRef>
              <c:f>'Global Plot_Median'!$O$12:$O$13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1E-4809-9E0C-03014C342CB0}"/>
            </c:ext>
          </c:extLst>
        </c:ser>
        <c:ser>
          <c:idx val="16"/>
          <c:order val="6"/>
          <c:tx>
            <c:v>Extreme Temp</c:v>
          </c:tx>
          <c:spPr>
            <a:ln w="19050" cap="rnd">
              <a:solidFill>
                <a:srgbClr val="D2FA9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Plot_Median'!$N$22:$N$23</c:f>
              <c:numCache>
                <c:formatCode>General</c:formatCode>
                <c:ptCount val="2"/>
                <c:pt idx="0">
                  <c:v>2.4324324324324325</c:v>
                </c:pt>
                <c:pt idx="1">
                  <c:v>2.4324324324324325</c:v>
                </c:pt>
              </c:numCache>
            </c:numRef>
          </c:xVal>
          <c:yVal>
            <c:numRef>
              <c:f>'Global Plot_Median'!$O$22:$O$23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91E-4809-9E0C-03014C342CB0}"/>
            </c:ext>
          </c:extLst>
        </c:ser>
        <c:ser>
          <c:idx val="6"/>
          <c:order val="7"/>
          <c:tx>
            <c:strRef>
              <c:f>'Global Plot_Median'!$M$14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Plot_Median'!$N$14:$N$15</c:f>
              <c:numCache>
                <c:formatCode>General</c:formatCode>
                <c:ptCount val="2"/>
                <c:pt idx="0">
                  <c:v>5.3405405405405411</c:v>
                </c:pt>
                <c:pt idx="1">
                  <c:v>5.3405405405405411</c:v>
                </c:pt>
              </c:numCache>
            </c:numRef>
          </c:xVal>
          <c:yVal>
            <c:numRef>
              <c:f>'Global Plot_Median'!$O$14:$O$15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1E-4809-9E0C-03014C342CB0}"/>
            </c:ext>
          </c:extLst>
        </c:ser>
        <c:ser>
          <c:idx val="7"/>
          <c:order val="8"/>
          <c:tx>
            <c:strRef>
              <c:f>'Global Plot_Median'!$M$16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Plot_Median'!$N$16:$N$17</c:f>
              <c:numCache>
                <c:formatCode>General</c:formatCode>
                <c:ptCount val="2"/>
                <c:pt idx="0">
                  <c:v>6.8378378378378377</c:v>
                </c:pt>
                <c:pt idx="1">
                  <c:v>6.8378378378378377</c:v>
                </c:pt>
              </c:numCache>
            </c:numRef>
          </c:xVal>
          <c:yVal>
            <c:numRef>
              <c:f>'Global Plot_Median'!$O$16:$O$17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91E-4809-9E0C-03014C342CB0}"/>
            </c:ext>
          </c:extLst>
        </c:ser>
        <c:ser>
          <c:idx val="8"/>
          <c:order val="9"/>
          <c:tx>
            <c:strRef>
              <c:f>'Global Plot_Median'!$M$18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Plot_Median'!$N$18:$N$19</c:f>
              <c:numCache>
                <c:formatCode>General</c:formatCode>
                <c:ptCount val="2"/>
                <c:pt idx="0">
                  <c:v>8.1081081081081088</c:v>
                </c:pt>
                <c:pt idx="1">
                  <c:v>8.1081081081081088</c:v>
                </c:pt>
              </c:numCache>
            </c:numRef>
          </c:xVal>
          <c:yVal>
            <c:numRef>
              <c:f>'Global Plot_Median'!$O$18:$O$19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91E-4809-9E0C-03014C342CB0}"/>
            </c:ext>
          </c:extLst>
        </c:ser>
        <c:ser>
          <c:idx val="9"/>
          <c:order val="10"/>
          <c:tx>
            <c:strRef>
              <c:f>'Global Plot_Median'!$M$20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Plot_Median'!$N$20:$N$21</c:f>
              <c:numCache>
                <c:formatCode>General</c:formatCode>
                <c:ptCount val="2"/>
                <c:pt idx="0">
                  <c:v>1.4815081081081083</c:v>
                </c:pt>
                <c:pt idx="1">
                  <c:v>1.4815081081081083</c:v>
                </c:pt>
              </c:numCache>
            </c:numRef>
          </c:xVal>
          <c:yVal>
            <c:numRef>
              <c:f>'Global Plot_Median'!$O$20:$O$21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91E-4809-9E0C-03014C342CB0}"/>
            </c:ext>
          </c:extLst>
        </c:ser>
        <c:ser>
          <c:idx val="17"/>
          <c:order val="11"/>
          <c:tx>
            <c:strRef>
              <c:f>'Global Plot_Median'!$M$24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Plot_Median'!$N$24:$N$25</c:f>
              <c:numCache>
                <c:formatCode>General</c:formatCode>
                <c:ptCount val="2"/>
                <c:pt idx="0">
                  <c:v>0.64054054054054055</c:v>
                </c:pt>
                <c:pt idx="1">
                  <c:v>0.64054054054054055</c:v>
                </c:pt>
              </c:numCache>
            </c:numRef>
          </c:xVal>
          <c:yVal>
            <c:numRef>
              <c:f>'Global Plot_Median'!$O$24:$O$25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91E-4809-9E0C-03014C342CB0}"/>
            </c:ext>
          </c:extLst>
        </c:ser>
        <c:ser>
          <c:idx val="11"/>
          <c:order val="12"/>
          <c:tx>
            <c:strRef>
              <c:f>'Global Plot_Median'!$M$28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Plot_Median'!$O$28:$O$29</c:f>
              <c:numCache>
                <c:formatCode>General</c:formatCode>
                <c:ptCount val="2"/>
                <c:pt idx="0">
                  <c:v>70.790000000000006</c:v>
                </c:pt>
                <c:pt idx="1">
                  <c:v>70.790000000000006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91E-4809-9E0C-03014C342CB0}"/>
            </c:ext>
          </c:extLst>
        </c:ser>
        <c:ser>
          <c:idx val="10"/>
          <c:order val="13"/>
          <c:tx>
            <c:strRef>
              <c:f>'Global Plot_Median'!$M$26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Plot_Median'!$O$26:$O$27</c:f>
              <c:numCache>
                <c:formatCode>General</c:formatCode>
                <c:ptCount val="2"/>
                <c:pt idx="0">
                  <c:v>36.36</c:v>
                </c:pt>
                <c:pt idx="1">
                  <c:v>36.36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91E-4809-9E0C-03014C342CB0}"/>
            </c:ext>
          </c:extLst>
        </c:ser>
        <c:ser>
          <c:idx val="14"/>
          <c:order val="14"/>
          <c:tx>
            <c:strRef>
              <c:f>'Global Plot_Median'!$M$34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Plot_Median'!$O$34:$O$35</c:f>
              <c:numCache>
                <c:formatCode>General</c:formatCode>
                <c:ptCount val="2"/>
                <c:pt idx="0">
                  <c:v>26.12</c:v>
                </c:pt>
                <c:pt idx="1">
                  <c:v>26.12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91E-4809-9E0C-03014C342CB0}"/>
            </c:ext>
          </c:extLst>
        </c:ser>
        <c:ser>
          <c:idx val="12"/>
          <c:order val="15"/>
          <c:tx>
            <c:strRef>
              <c:f>'Global Plot_Median'!$M$30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Plot_Median'!$O$30:$O$31</c:f>
              <c:numCache>
                <c:formatCode>General</c:formatCode>
                <c:ptCount val="2"/>
                <c:pt idx="0">
                  <c:v>20.440000000000001</c:v>
                </c:pt>
                <c:pt idx="1">
                  <c:v>20.440000000000001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91E-4809-9E0C-03014C342CB0}"/>
            </c:ext>
          </c:extLst>
        </c:ser>
        <c:ser>
          <c:idx val="13"/>
          <c:order val="16"/>
          <c:tx>
            <c:strRef>
              <c:f>'Global Plot_Median'!$M$32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Plot_Median'!$O$32:$O$33</c:f>
              <c:numCache>
                <c:formatCode>General</c:formatCode>
                <c:ptCount val="2"/>
                <c:pt idx="0">
                  <c:v>29.84</c:v>
                </c:pt>
                <c:pt idx="1">
                  <c:v>29.84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91E-4809-9E0C-03014C342CB0}"/>
            </c:ext>
          </c:extLst>
        </c:ser>
        <c:ser>
          <c:idx val="15"/>
          <c:order val="17"/>
          <c:tx>
            <c:strRef>
              <c:f>'Global Plot_Median'!$M$36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Plot_Median'!$N$36:$N$37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Plot_Median'!$O$36:$O$37</c:f>
              <c:numCache>
                <c:formatCode>General</c:formatCode>
                <c:ptCount val="2"/>
                <c:pt idx="0">
                  <c:v>19.829999999999998</c:v>
                </c:pt>
                <c:pt idx="1">
                  <c:v>19.829999999999998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91E-4809-9E0C-03014C34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(MEDIAN)</a:t>
                </a:r>
              </a:p>
            </c:rich>
          </c:tx>
          <c:layout>
            <c:manualLayout>
              <c:xMode val="edge"/>
              <c:yMode val="edge"/>
              <c:x val="0.27758537420137291"/>
              <c:y val="0.8816421925835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AFRICA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306058003352198"/>
          <c:y val="1.61347772476772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'Africa Scatter_Median'!$O$4:$O$5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A-4507-9D10-A1629BA73195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'Africa Scatter_Median'!$O$6:$O$7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DA-4507-9D10-A1629BA73195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Scatter_Median'!$O$8:$O$9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DA-4507-9D10-A1629BA73195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'Africa Scatter_Median'!$R$24:$R$29</c:f>
              <c:numCache>
                <c:formatCode>General</c:formatCode>
                <c:ptCount val="6"/>
                <c:pt idx="0">
                  <c:v>99.9</c:v>
                </c:pt>
                <c:pt idx="1">
                  <c:v>99.9</c:v>
                </c:pt>
                <c:pt idx="2">
                  <c:v>99.9</c:v>
                </c:pt>
                <c:pt idx="3">
                  <c:v>99.9</c:v>
                </c:pt>
                <c:pt idx="4">
                  <c:v>99.9</c:v>
                </c:pt>
                <c:pt idx="5">
                  <c:v>99.9</c:v>
                </c:pt>
              </c:numCache>
            </c:numRef>
          </c:xVal>
          <c:yVal>
            <c:numRef>
              <c:f>'Africa Scatter_Median'!$S$24:$S$29</c:f>
              <c:numCache>
                <c:formatCode>General</c:formatCode>
                <c:ptCount val="6"/>
                <c:pt idx="0">
                  <c:v>41.83</c:v>
                </c:pt>
                <c:pt idx="1">
                  <c:v>44.16</c:v>
                </c:pt>
                <c:pt idx="2">
                  <c:v>49.2</c:v>
                </c:pt>
                <c:pt idx="3">
                  <c:v>59.6</c:v>
                </c:pt>
                <c:pt idx="4">
                  <c:v>65.2</c:v>
                </c:pt>
                <c:pt idx="5">
                  <c:v>49.6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DA-4507-9D10-A1629BA73195}"/>
            </c:ext>
          </c:extLst>
        </c:ser>
        <c:ser>
          <c:idx val="5"/>
          <c:order val="4"/>
          <c:tx>
            <c:v>Drought Line</c:v>
          </c:tx>
          <c:spPr>
            <a:ln w="3810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Scatter_Median'!$N$10:$N$11</c:f>
              <c:numCache>
                <c:formatCode>General</c:formatCode>
                <c:ptCount val="2"/>
                <c:pt idx="0">
                  <c:v>99.9</c:v>
                </c:pt>
                <c:pt idx="1">
                  <c:v>99.9</c:v>
                </c:pt>
              </c:numCache>
            </c:numRef>
          </c:xVal>
          <c:yVal>
            <c:numRef>
              <c:f>'Africa Scatter_Median'!$O$10:$O$11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DA-4507-9D10-A1629BA73195}"/>
            </c:ext>
          </c:extLst>
        </c:ser>
        <c:ser>
          <c:idx val="3"/>
          <c:order val="5"/>
          <c:tx>
            <c:strRef>
              <c:f>'Africa Scatter_Median'!$M$12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Scatter_Median'!$N$12:$N$13</c:f>
              <c:numCache>
                <c:formatCode>General</c:formatCode>
                <c:ptCount val="2"/>
                <c:pt idx="0">
                  <c:v>26.921052631578945</c:v>
                </c:pt>
                <c:pt idx="1">
                  <c:v>26.921052631578945</c:v>
                </c:pt>
              </c:numCache>
            </c:numRef>
          </c:xVal>
          <c:yVal>
            <c:numRef>
              <c:f>'Africa Scatter_Median'!$O$12:$O$13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DA-4507-9D10-A1629BA73195}"/>
            </c:ext>
          </c:extLst>
        </c:ser>
        <c:ser>
          <c:idx val="6"/>
          <c:order val="6"/>
          <c:tx>
            <c:strRef>
              <c:f>'Africa Scatter_Median'!$M$14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Scatter_Median'!$N$14:$N$15</c:f>
              <c:numCache>
                <c:formatCode>General</c:formatCode>
                <c:ptCount val="2"/>
                <c:pt idx="0">
                  <c:v>1.5789473684210527</c:v>
                </c:pt>
                <c:pt idx="1">
                  <c:v>1.5789473684210527</c:v>
                </c:pt>
              </c:numCache>
            </c:numRef>
          </c:xVal>
          <c:yVal>
            <c:numRef>
              <c:f>'Africa Scatter_Median'!$O$14:$O$15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DA-4507-9D10-A1629BA73195}"/>
            </c:ext>
          </c:extLst>
        </c:ser>
        <c:ser>
          <c:idx val="7"/>
          <c:order val="7"/>
          <c:tx>
            <c:strRef>
              <c:f>'Africa Scatter_Median'!$M$16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Scatter_Median'!$N$16:$N$17</c:f>
              <c:numCache>
                <c:formatCode>General</c:formatCode>
                <c:ptCount val="2"/>
                <c:pt idx="0">
                  <c:v>0.52631578947368418</c:v>
                </c:pt>
                <c:pt idx="1">
                  <c:v>0.52631578947368418</c:v>
                </c:pt>
              </c:numCache>
            </c:numRef>
          </c:xVal>
          <c:yVal>
            <c:numRef>
              <c:f>'Africa Scatter_Median'!$O$16:$O$17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DA-4507-9D10-A1629BA73195}"/>
            </c:ext>
          </c:extLst>
        </c:ser>
        <c:ser>
          <c:idx val="8"/>
          <c:order val="8"/>
          <c:tx>
            <c:strRef>
              <c:f>'Africa Scatter_Median'!$M$18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Scatter_Median'!$N$18:$N$19</c:f>
              <c:numCache>
                <c:formatCode>General</c:formatCode>
                <c:ptCount val="2"/>
                <c:pt idx="0">
                  <c:v>0.63157894736842102</c:v>
                </c:pt>
                <c:pt idx="1">
                  <c:v>0.63157894736842102</c:v>
                </c:pt>
              </c:numCache>
            </c:numRef>
          </c:xVal>
          <c:yVal>
            <c:numRef>
              <c:f>'Africa Scatter_Median'!$O$18:$O$19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DA-4507-9D10-A1629BA73195}"/>
            </c:ext>
          </c:extLst>
        </c:ser>
        <c:ser>
          <c:idx val="9"/>
          <c:order val="9"/>
          <c:tx>
            <c:strRef>
              <c:f>'Africa Scatter_Median'!$M$20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Scatter_Median'!$N$20:$N$21</c:f>
              <c:numCache>
                <c:formatCode>General</c:formatCode>
                <c:ptCount val="2"/>
                <c:pt idx="0">
                  <c:v>0.26315789473684209</c:v>
                </c:pt>
                <c:pt idx="1">
                  <c:v>0.26315789473684209</c:v>
                </c:pt>
              </c:numCache>
            </c:numRef>
          </c:xVal>
          <c:yVal>
            <c:numRef>
              <c:f>'Africa Scatter_Median'!$O$20:$O$21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DA-4507-9D10-A1629BA73195}"/>
            </c:ext>
          </c:extLst>
        </c:ser>
        <c:ser>
          <c:idx val="11"/>
          <c:order val="10"/>
          <c:tx>
            <c:strRef>
              <c:f>'Africa Scatter_Median'!$M$24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Scatter_Median'!$N$24:$N$25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Scatter_Median'!$O$24:$O$25</c:f>
              <c:numCache>
                <c:formatCode>General</c:formatCode>
                <c:ptCount val="2"/>
                <c:pt idx="0">
                  <c:v>44.16</c:v>
                </c:pt>
                <c:pt idx="1">
                  <c:v>44.16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DA-4507-9D10-A1629BA73195}"/>
            </c:ext>
          </c:extLst>
        </c:ser>
        <c:ser>
          <c:idx val="10"/>
          <c:order val="11"/>
          <c:tx>
            <c:strRef>
              <c:f>'Africa Scatter_Median'!$M$22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Scatter_Median'!$N$22:$N$23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Scatter_Median'!$O$22:$O$23</c:f>
              <c:numCache>
                <c:formatCode>General</c:formatCode>
                <c:ptCount val="2"/>
                <c:pt idx="0">
                  <c:v>41.83</c:v>
                </c:pt>
                <c:pt idx="1">
                  <c:v>41.83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DA-4507-9D10-A1629BA73195}"/>
            </c:ext>
          </c:extLst>
        </c:ser>
        <c:ser>
          <c:idx val="14"/>
          <c:order val="12"/>
          <c:tx>
            <c:strRef>
              <c:f>'Africa Scatter_Median'!$M$30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Scatter_Median'!$O$30:$O$31</c:f>
              <c:numCache>
                <c:formatCode>General</c:formatCode>
                <c:ptCount val="2"/>
                <c:pt idx="0">
                  <c:v>65.2</c:v>
                </c:pt>
                <c:pt idx="1">
                  <c:v>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DA-4507-9D10-A1629BA73195}"/>
            </c:ext>
          </c:extLst>
        </c:ser>
        <c:ser>
          <c:idx val="12"/>
          <c:order val="13"/>
          <c:tx>
            <c:strRef>
              <c:f>'Africa Scatter_Median'!$M$26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Scatter_Median'!$O$26:$O$27</c:f>
              <c:numCache>
                <c:formatCode>General</c:formatCode>
                <c:ptCount val="2"/>
                <c:pt idx="0">
                  <c:v>49.2</c:v>
                </c:pt>
                <c:pt idx="1">
                  <c:v>49.2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DA-4507-9D10-A1629BA73195}"/>
            </c:ext>
          </c:extLst>
        </c:ser>
        <c:ser>
          <c:idx val="13"/>
          <c:order val="14"/>
          <c:tx>
            <c:strRef>
              <c:f>'Africa Scatter_Median'!$M$28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Scatter_Median'!$O$28:$O$29</c:f>
              <c:numCache>
                <c:formatCode>General</c:formatCode>
                <c:ptCount val="2"/>
                <c:pt idx="0">
                  <c:v>59.6</c:v>
                </c:pt>
                <c:pt idx="1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DA-4507-9D10-A1629BA73195}"/>
            </c:ext>
          </c:extLst>
        </c:ser>
        <c:ser>
          <c:idx val="15"/>
          <c:order val="15"/>
          <c:tx>
            <c:strRef>
              <c:f>'Africa Scatter_Median'!$M$32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Scatter_Median'!$N$32:$N$33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Scatter_Median'!$O$32:$O$33</c:f>
              <c:numCache>
                <c:formatCode>General</c:formatCode>
                <c:ptCount val="2"/>
                <c:pt idx="0">
                  <c:v>49.6</c:v>
                </c:pt>
                <c:pt idx="1">
                  <c:v>49.6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DA-4507-9D10-A1629BA73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(MEDIAN)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740164651305585"/>
          <c:h val="8.2286002038062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GLOBAL MILITARY CAPACITY</a:t>
            </a:r>
          </a:p>
        </c:rich>
      </c:tx>
      <c:layout>
        <c:manualLayout>
          <c:xMode val="edge"/>
          <c:yMode val="edge"/>
          <c:x val="0.25003171500331561"/>
          <c:y val="1.8259069094927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'Global Plot_Avg'!$O$4:$O$5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7-4077-A437-903132DB0E78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'Global Plot_Avg'!$O$6:$O$7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7-4077-A437-903132DB0E78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Plot_Avg'!$O$8:$O$9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D7-4077-A437-903132DB0E78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'Global Plot_Avg'!$R$25:$R$32</c:f>
              <c:numCache>
                <c:formatCode>General</c:formatCode>
                <c:ptCount val="8"/>
                <c:pt idx="0">
                  <c:v>30.6433545839764</c:v>
                </c:pt>
                <c:pt idx="1">
                  <c:v>45.471007445299442</c:v>
                </c:pt>
              </c:numCache>
            </c:numRef>
          </c:xVal>
          <c:yVal>
            <c:numRef>
              <c:f>'Global Plot_Avg'!$S$25:$S$32</c:f>
              <c:numCache>
                <c:formatCode>General</c:formatCode>
                <c:ptCount val="8"/>
                <c:pt idx="0">
                  <c:v>70.790000000000006</c:v>
                </c:pt>
                <c:pt idx="1">
                  <c:v>70.790000000000006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1CD7-4077-A437-903132DB0E78}"/>
            </c:ext>
          </c:extLst>
        </c:ser>
        <c:ser>
          <c:idx val="5"/>
          <c:order val="4"/>
          <c:tx>
            <c:v>Drought Line</c:v>
          </c:tx>
          <c:spPr>
            <a:ln w="1905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Plot_Avg'!$N$10:$N$11</c:f>
              <c:numCache>
                <c:formatCode>General</c:formatCode>
                <c:ptCount val="2"/>
                <c:pt idx="0">
                  <c:v>23.73922849319186</c:v>
                </c:pt>
                <c:pt idx="1">
                  <c:v>23.73922849319186</c:v>
                </c:pt>
              </c:numCache>
            </c:numRef>
          </c:xVal>
          <c:yVal>
            <c:numRef>
              <c:f>'Global Plot_Avg'!$O$10:$O$11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D7-4077-A437-903132DB0E78}"/>
            </c:ext>
          </c:extLst>
        </c:ser>
        <c:ser>
          <c:idx val="3"/>
          <c:order val="5"/>
          <c:tx>
            <c:strRef>
              <c:f>'Global Plot_Avg'!$M$12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Plot_Avg'!$N$12:$N$13</c:f>
              <c:numCache>
                <c:formatCode>General</c:formatCode>
                <c:ptCount val="2"/>
                <c:pt idx="0">
                  <c:v>11.123836047077416</c:v>
                </c:pt>
                <c:pt idx="1">
                  <c:v>11.123836047077416</c:v>
                </c:pt>
              </c:numCache>
            </c:numRef>
          </c:xVal>
          <c:yVal>
            <c:numRef>
              <c:f>'Global Plot_Avg'!$O$12:$O$13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1CD7-4077-A437-903132DB0E78}"/>
            </c:ext>
          </c:extLst>
        </c:ser>
        <c:ser>
          <c:idx val="6"/>
          <c:order val="6"/>
          <c:tx>
            <c:strRef>
              <c:f>'Global Plot_Avg'!$M$14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Plot_Avg'!$N$14:$N$15</c:f>
              <c:numCache>
                <c:formatCode>General</c:formatCode>
                <c:ptCount val="2"/>
                <c:pt idx="0">
                  <c:v>45.471007445299442</c:v>
                </c:pt>
                <c:pt idx="1">
                  <c:v>45.471007445299442</c:v>
                </c:pt>
              </c:numCache>
            </c:numRef>
          </c:xVal>
          <c:yVal>
            <c:numRef>
              <c:f>'Global Plot_Avg'!$O$14:$O$15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1CD7-4077-A437-903132DB0E78}"/>
            </c:ext>
          </c:extLst>
        </c:ser>
        <c:ser>
          <c:idx val="7"/>
          <c:order val="7"/>
          <c:tx>
            <c:strRef>
              <c:f>'Global Plot_Avg'!$M$16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Plot_Avg'!$N$16:$N$17</c:f>
              <c:numCache>
                <c:formatCode>General</c:formatCode>
                <c:ptCount val="2"/>
                <c:pt idx="0">
                  <c:v>12.148253987298091</c:v>
                </c:pt>
                <c:pt idx="1">
                  <c:v>12.148253987298091</c:v>
                </c:pt>
              </c:numCache>
            </c:numRef>
          </c:xVal>
          <c:yVal>
            <c:numRef>
              <c:f>'Global Plot_Avg'!$O$16:$O$17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1CD7-4077-A437-903132DB0E78}"/>
            </c:ext>
          </c:extLst>
        </c:ser>
        <c:ser>
          <c:idx val="8"/>
          <c:order val="8"/>
          <c:tx>
            <c:strRef>
              <c:f>'Global Plot_Avg'!$M$18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Plot_Avg'!$N$18:$N$19</c:f>
              <c:numCache>
                <c:formatCode>General</c:formatCode>
                <c:ptCount val="2"/>
                <c:pt idx="0">
                  <c:v>12.499522814901265</c:v>
                </c:pt>
                <c:pt idx="1">
                  <c:v>12.499522814901265</c:v>
                </c:pt>
              </c:numCache>
            </c:numRef>
          </c:xVal>
          <c:yVal>
            <c:numRef>
              <c:f>'Global Plot_Avg'!$O$18:$O$19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E-1CD7-4077-A437-903132DB0E78}"/>
            </c:ext>
          </c:extLst>
        </c:ser>
        <c:ser>
          <c:idx val="9"/>
          <c:order val="9"/>
          <c:tx>
            <c:strRef>
              <c:f>'Global Plot_Avg'!$M$20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Plot_Avg'!$N$20:$N$21</c:f>
              <c:numCache>
                <c:formatCode>General</c:formatCode>
                <c:ptCount val="2"/>
                <c:pt idx="0">
                  <c:v>0.33215597378178435</c:v>
                </c:pt>
                <c:pt idx="1">
                  <c:v>0.33215597378178435</c:v>
                </c:pt>
              </c:numCache>
            </c:numRef>
          </c:xVal>
          <c:yVal>
            <c:numRef>
              <c:f>'Global Plot_Avg'!$O$20:$O$21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1CD7-4077-A437-903132DB0E78}"/>
            </c:ext>
          </c:extLst>
        </c:ser>
        <c:ser>
          <c:idx val="10"/>
          <c:order val="10"/>
          <c:tx>
            <c:strRef>
              <c:f>'Global Plot_Avg'!$M$26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Plot_Avg'!$O$26:$O$27</c:f>
              <c:numCache>
                <c:formatCode>General</c:formatCode>
                <c:ptCount val="2"/>
                <c:pt idx="0">
                  <c:v>36.36</c:v>
                </c:pt>
                <c:pt idx="1">
                  <c:v>36.36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D7-4077-A437-903132DB0E78}"/>
            </c:ext>
          </c:extLst>
        </c:ser>
        <c:ser>
          <c:idx val="11"/>
          <c:order val="11"/>
          <c:tx>
            <c:strRef>
              <c:f>'Global Plot_Avg'!$M$28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Plot_Avg'!$O$28:$O$29</c:f>
              <c:numCache>
                <c:formatCode>General</c:formatCode>
                <c:ptCount val="2"/>
                <c:pt idx="0">
                  <c:v>70.790000000000006</c:v>
                </c:pt>
                <c:pt idx="1">
                  <c:v>70.790000000000006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D7-4077-A437-903132DB0E78}"/>
            </c:ext>
          </c:extLst>
        </c:ser>
        <c:ser>
          <c:idx val="12"/>
          <c:order val="12"/>
          <c:tx>
            <c:strRef>
              <c:f>'Global Plot_Avg'!$M$30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Plot_Avg'!$O$30:$O$31</c:f>
              <c:numCache>
                <c:formatCode>General</c:formatCode>
                <c:ptCount val="2"/>
                <c:pt idx="0">
                  <c:v>20.440000000000001</c:v>
                </c:pt>
                <c:pt idx="1">
                  <c:v>20.440000000000001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D7-4077-A437-903132DB0E78}"/>
            </c:ext>
          </c:extLst>
        </c:ser>
        <c:ser>
          <c:idx val="13"/>
          <c:order val="13"/>
          <c:tx>
            <c:strRef>
              <c:f>'Global Plot_Avg'!$M$32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Plot_Avg'!$O$32:$O$33</c:f>
              <c:numCache>
                <c:formatCode>General</c:formatCode>
                <c:ptCount val="2"/>
                <c:pt idx="0">
                  <c:v>29.84</c:v>
                </c:pt>
                <c:pt idx="1">
                  <c:v>29.84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D7-4077-A437-903132DB0E78}"/>
            </c:ext>
          </c:extLst>
        </c:ser>
        <c:ser>
          <c:idx val="14"/>
          <c:order val="14"/>
          <c:tx>
            <c:strRef>
              <c:f>'Global Plot_Avg'!$M$34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Plot_Avg'!$O$34:$O$35</c:f>
              <c:numCache>
                <c:formatCode>General</c:formatCode>
                <c:ptCount val="2"/>
                <c:pt idx="0">
                  <c:v>26.12</c:v>
                </c:pt>
                <c:pt idx="1">
                  <c:v>26.12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CD7-4077-A437-903132DB0E78}"/>
            </c:ext>
          </c:extLst>
        </c:ser>
        <c:ser>
          <c:idx val="15"/>
          <c:order val="15"/>
          <c:tx>
            <c:strRef>
              <c:f>'Global Plot_Avg'!$M$36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'Global Plot_Avg'!$O$36:$O$37</c:f>
              <c:numCache>
                <c:formatCode>General</c:formatCode>
                <c:ptCount val="2"/>
                <c:pt idx="0">
                  <c:v>19.829999999999998</c:v>
                </c:pt>
                <c:pt idx="1">
                  <c:v>19.829999999999998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CD7-4077-A437-903132DB0E78}"/>
            </c:ext>
          </c:extLst>
        </c:ser>
        <c:ser>
          <c:idx val="16"/>
          <c:order val="16"/>
          <c:tx>
            <c:v>Extreme Temp</c:v>
          </c:tx>
          <c:spPr>
            <a:ln w="44450" cap="rnd">
              <a:solidFill>
                <a:srgbClr val="D2FA9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Plot_Avg'!$N$22:$N$23</c:f>
              <c:numCache>
                <c:formatCode>General</c:formatCode>
                <c:ptCount val="2"/>
                <c:pt idx="0">
                  <c:v>30.6433545839764</c:v>
                </c:pt>
                <c:pt idx="1">
                  <c:v>30.6433545839764</c:v>
                </c:pt>
              </c:numCache>
            </c:numRef>
          </c:xVal>
          <c:yVal>
            <c:numRef>
              <c:f>'Global Plot_Avg'!$O$22:$O$23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0-1CD7-4077-A437-903132DB0E78}"/>
            </c:ext>
          </c:extLst>
        </c:ser>
        <c:ser>
          <c:idx val="17"/>
          <c:order val="17"/>
          <c:tx>
            <c:strRef>
              <c:f>'Global Plot_Avg'!$M$24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'Global Plot_Avg'!$N$24:$N$25</c:f>
              <c:numCache>
                <c:formatCode>General</c:formatCode>
                <c:ptCount val="2"/>
                <c:pt idx="0">
                  <c:v>1.6165007274421728</c:v>
                </c:pt>
                <c:pt idx="1">
                  <c:v>1.6165007274421728</c:v>
                </c:pt>
              </c:numCache>
            </c:numRef>
          </c:xVal>
          <c:yVal>
            <c:numRef>
              <c:f>'Global Plot_Avg'!$O$24:$O$25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1CD7-4077-A437-903132DB0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  <c:extLst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(AVERAGE)</a:t>
                </a:r>
              </a:p>
            </c:rich>
          </c:tx>
          <c:layout>
            <c:manualLayout>
              <c:xMode val="edge"/>
              <c:yMode val="edge"/>
              <c:x val="0.27758537420137291"/>
              <c:y val="0.88164219258352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AFRICA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306058003352198"/>
          <c:y val="1.61347772476772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'Africa Scatter_Avg'!$O$4:$O$5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DC-4E29-8187-60F69C21BC45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'Africa Scatter_Avg'!$O$6:$O$7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DC-4E29-8187-60F69C21BC45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Scatter_Avg'!$O$8:$O$9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8DC-4E29-8187-60F69C21BC45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'Africa Scatter_Avg'!$R$25:$R$29</c:f>
              <c:numCache>
                <c:formatCode>General</c:formatCode>
                <c:ptCount val="5"/>
                <c:pt idx="0">
                  <c:v>56.23402268587261</c:v>
                </c:pt>
                <c:pt idx="1">
                  <c:v>56.23402268587261</c:v>
                </c:pt>
                <c:pt idx="2">
                  <c:v>56.23402268587261</c:v>
                </c:pt>
                <c:pt idx="3">
                  <c:v>56.23402268587261</c:v>
                </c:pt>
                <c:pt idx="4">
                  <c:v>56.23402268587261</c:v>
                </c:pt>
              </c:numCache>
            </c:numRef>
          </c:xVal>
          <c:yVal>
            <c:numRef>
              <c:f>'Africa Scatter_Avg'!$S$25:$S$29</c:f>
              <c:numCache>
                <c:formatCode>General</c:formatCode>
                <c:ptCount val="5"/>
                <c:pt idx="0">
                  <c:v>44.16</c:v>
                </c:pt>
                <c:pt idx="1">
                  <c:v>49.2</c:v>
                </c:pt>
                <c:pt idx="2">
                  <c:v>59.6</c:v>
                </c:pt>
                <c:pt idx="3">
                  <c:v>65.2</c:v>
                </c:pt>
                <c:pt idx="4">
                  <c:v>49.6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8DC-4E29-8187-60F69C21BC45}"/>
            </c:ext>
          </c:extLst>
        </c:ser>
        <c:ser>
          <c:idx val="5"/>
          <c:order val="4"/>
          <c:tx>
            <c:v>Drought Line</c:v>
          </c:tx>
          <c:spPr>
            <a:ln w="1905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Scatter_Avg'!$N$10:$N$11</c:f>
              <c:numCache>
                <c:formatCode>General</c:formatCode>
                <c:ptCount val="2"/>
                <c:pt idx="0">
                  <c:v>56.23402268587261</c:v>
                </c:pt>
                <c:pt idx="1">
                  <c:v>56.23402268587261</c:v>
                </c:pt>
              </c:numCache>
            </c:numRef>
          </c:xVal>
          <c:yVal>
            <c:numRef>
              <c:f>'Africa Scatter_Avg'!$O$10:$O$11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8DC-4E29-8187-60F69C21BC45}"/>
            </c:ext>
          </c:extLst>
        </c:ser>
        <c:ser>
          <c:idx val="3"/>
          <c:order val="5"/>
          <c:tx>
            <c:strRef>
              <c:f>'Africa Scatter_Avg'!$M$12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Scatter_Avg'!$N$12:$N$13</c:f>
              <c:numCache>
                <c:formatCode>General</c:formatCode>
                <c:ptCount val="2"/>
                <c:pt idx="0">
                  <c:v>7.8298406478179015</c:v>
                </c:pt>
                <c:pt idx="1">
                  <c:v>7.8298406478179015</c:v>
                </c:pt>
              </c:numCache>
            </c:numRef>
          </c:xVal>
          <c:yVal>
            <c:numRef>
              <c:f>'Africa Scatter_Avg'!$O$12:$O$13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F5-49C0-BE06-7FFF1E6AEE50}"/>
            </c:ext>
          </c:extLst>
        </c:ser>
        <c:ser>
          <c:idx val="6"/>
          <c:order val="6"/>
          <c:tx>
            <c:strRef>
              <c:f>'Africa Scatter_Avg'!$M$14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Scatter_Avg'!$N$14:$N$15</c:f>
              <c:numCache>
                <c:formatCode>General</c:formatCode>
                <c:ptCount val="2"/>
                <c:pt idx="0">
                  <c:v>4.8463881702818128</c:v>
                </c:pt>
                <c:pt idx="1">
                  <c:v>4.8463881702818128</c:v>
                </c:pt>
              </c:numCache>
            </c:numRef>
          </c:xVal>
          <c:yVal>
            <c:numRef>
              <c:f>'Africa Scatter_Avg'!$O$14:$O$15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F5-49C0-BE06-7FFF1E6AEE50}"/>
            </c:ext>
          </c:extLst>
        </c:ser>
        <c:ser>
          <c:idx val="7"/>
          <c:order val="7"/>
          <c:tx>
            <c:strRef>
              <c:f>'Africa Scatter_Avg'!$M$16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Scatter_Avg'!$N$16:$N$17</c:f>
              <c:numCache>
                <c:formatCode>General</c:formatCode>
                <c:ptCount val="2"/>
                <c:pt idx="0">
                  <c:v>0.15307606349595113</c:v>
                </c:pt>
                <c:pt idx="1">
                  <c:v>0.15307606349595113</c:v>
                </c:pt>
              </c:numCache>
            </c:numRef>
          </c:xVal>
          <c:yVal>
            <c:numRef>
              <c:f>'Africa Scatter_Avg'!$O$16:$O$17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7F5-49C0-BE06-7FFF1E6AEE50}"/>
            </c:ext>
          </c:extLst>
        </c:ser>
        <c:ser>
          <c:idx val="8"/>
          <c:order val="8"/>
          <c:tx>
            <c:strRef>
              <c:f>'Africa Scatter_Avg'!$M$18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Scatter_Avg'!$N$18:$N$19</c:f>
              <c:numCache>
                <c:formatCode>General</c:formatCode>
                <c:ptCount val="2"/>
                <c:pt idx="0">
                  <c:v>0.29115067276929907</c:v>
                </c:pt>
                <c:pt idx="1">
                  <c:v>0.29115067276929907</c:v>
                </c:pt>
              </c:numCache>
            </c:numRef>
          </c:xVal>
          <c:yVal>
            <c:numRef>
              <c:f>'Africa Scatter_Avg'!$O$18:$O$19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7F5-49C0-BE06-7FFF1E6AEE50}"/>
            </c:ext>
          </c:extLst>
        </c:ser>
        <c:ser>
          <c:idx val="9"/>
          <c:order val="9"/>
          <c:tx>
            <c:strRef>
              <c:f>'Africa Scatter_Avg'!$M$20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Scatter_Avg'!$N$20:$N$21</c:f>
              <c:numCache>
                <c:formatCode>General</c:formatCode>
                <c:ptCount val="2"/>
                <c:pt idx="0">
                  <c:v>7.6538031747975563E-2</c:v>
                </c:pt>
                <c:pt idx="1">
                  <c:v>7.6538031747975563E-2</c:v>
                </c:pt>
              </c:numCache>
            </c:numRef>
          </c:xVal>
          <c:yVal>
            <c:numRef>
              <c:f>'Africa Scatter_Avg'!$O$20:$O$21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7F5-49C0-BE06-7FFF1E6AEE50}"/>
            </c:ext>
          </c:extLst>
        </c:ser>
        <c:ser>
          <c:idx val="10"/>
          <c:order val="10"/>
          <c:tx>
            <c:strRef>
              <c:f>'Africa Scatter_Avg'!$M$22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Scatter_Avg'!$N$22:$N$23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Scatter_Avg'!$O$22:$O$23</c:f>
              <c:numCache>
                <c:formatCode>General</c:formatCode>
                <c:ptCount val="2"/>
                <c:pt idx="0">
                  <c:v>41.83</c:v>
                </c:pt>
                <c:pt idx="1">
                  <c:v>41.83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7F5-49C0-BE06-7FFF1E6AEE50}"/>
            </c:ext>
          </c:extLst>
        </c:ser>
        <c:ser>
          <c:idx val="11"/>
          <c:order val="11"/>
          <c:tx>
            <c:strRef>
              <c:f>'Africa Scatter_Avg'!$M$24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Scatter_Avg'!$N$24:$N$25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Scatter_Avg'!$O$24:$O$25</c:f>
              <c:numCache>
                <c:formatCode>General</c:formatCode>
                <c:ptCount val="2"/>
                <c:pt idx="0">
                  <c:v>44.16</c:v>
                </c:pt>
                <c:pt idx="1">
                  <c:v>44.16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7F5-49C0-BE06-7FFF1E6AEE50}"/>
            </c:ext>
          </c:extLst>
        </c:ser>
        <c:ser>
          <c:idx val="12"/>
          <c:order val="12"/>
          <c:tx>
            <c:strRef>
              <c:f>'Africa Scatter_Avg'!$M$26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Scatter_Avg'!$O$26:$O$27</c:f>
              <c:numCache>
                <c:formatCode>General</c:formatCode>
                <c:ptCount val="2"/>
                <c:pt idx="0">
                  <c:v>49.2</c:v>
                </c:pt>
                <c:pt idx="1">
                  <c:v>49.2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7F5-49C0-BE06-7FFF1E6AEE50}"/>
            </c:ext>
          </c:extLst>
        </c:ser>
        <c:ser>
          <c:idx val="13"/>
          <c:order val="13"/>
          <c:tx>
            <c:strRef>
              <c:f>'Africa Scatter_Avg'!$M$28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Scatter_Avg'!$O$28:$O$29</c:f>
              <c:numCache>
                <c:formatCode>General</c:formatCode>
                <c:ptCount val="2"/>
                <c:pt idx="0">
                  <c:v>59.6</c:v>
                </c:pt>
                <c:pt idx="1">
                  <c:v>59.6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7F5-49C0-BE06-7FFF1E6AEE50}"/>
            </c:ext>
          </c:extLst>
        </c:ser>
        <c:ser>
          <c:idx val="14"/>
          <c:order val="14"/>
          <c:tx>
            <c:strRef>
              <c:f>'Africa Scatter_Avg'!$M$30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Scatter_Avg'!$O$30:$O$31</c:f>
              <c:numCache>
                <c:formatCode>General</c:formatCode>
                <c:ptCount val="2"/>
                <c:pt idx="0">
                  <c:v>65.2</c:v>
                </c:pt>
                <c:pt idx="1">
                  <c:v>65.2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7F5-49C0-BE06-7FFF1E6AEE50}"/>
            </c:ext>
          </c:extLst>
        </c:ser>
        <c:ser>
          <c:idx val="15"/>
          <c:order val="15"/>
          <c:tx>
            <c:strRef>
              <c:f>'Africa Scatter_Avg'!$M$32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'Africa Scatter_Avg'!$N$32:$N$33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'Africa Scatter_Avg'!$O$32:$O$33</c:f>
              <c:numCache>
                <c:formatCode>General</c:formatCode>
                <c:ptCount val="2"/>
                <c:pt idx="0">
                  <c:v>49.6</c:v>
                </c:pt>
                <c:pt idx="1">
                  <c:v>49.6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7F5-49C0-BE06-7FFF1E6A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(AVERAGE)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740164651305585"/>
          <c:h val="8.22860020380623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ASIA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003171500331561"/>
          <c:y val="1.8259069094927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'Asia Scatter_Avg'!$O$4:$O$5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C-41C0-A4E1-29D5C8E840BB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'Asia Scatter_Avg'!$O$6:$O$7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C-41C0-A4E1-29D5C8E840BB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Scatter_Avg'!$O$8:$O$9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BC-41C0-A4E1-29D5C8E840BB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'Asia Scatter_Avg'!$R$25:$R$32</c:f>
              <c:numCache>
                <c:formatCode>General</c:formatCode>
                <c:ptCount val="8"/>
                <c:pt idx="0">
                  <c:v>99.9</c:v>
                </c:pt>
                <c:pt idx="1">
                  <c:v>99.9</c:v>
                </c:pt>
                <c:pt idx="2">
                  <c:v>99.9</c:v>
                </c:pt>
                <c:pt idx="3">
                  <c:v>99.9</c:v>
                </c:pt>
                <c:pt idx="4">
                  <c:v>99.9</c:v>
                </c:pt>
                <c:pt idx="5">
                  <c:v>99.9</c:v>
                </c:pt>
                <c:pt idx="6">
                  <c:v>42.31492122605141</c:v>
                </c:pt>
                <c:pt idx="7">
                  <c:v>46.321118400954312</c:v>
                </c:pt>
              </c:numCache>
            </c:numRef>
          </c:xVal>
          <c:yVal>
            <c:numRef>
              <c:f>'Asia Scatter_Avg'!$S$25:$S$32</c:f>
              <c:numCache>
                <c:formatCode>General</c:formatCode>
                <c:ptCount val="8"/>
                <c:pt idx="0">
                  <c:v>31.64</c:v>
                </c:pt>
                <c:pt idx="1">
                  <c:v>73.375</c:v>
                </c:pt>
                <c:pt idx="2">
                  <c:v>16.64</c:v>
                </c:pt>
                <c:pt idx="3">
                  <c:v>21.64</c:v>
                </c:pt>
                <c:pt idx="4">
                  <c:v>31.64</c:v>
                </c:pt>
                <c:pt idx="5">
                  <c:v>19.14</c:v>
                </c:pt>
                <c:pt idx="6">
                  <c:v>73.375</c:v>
                </c:pt>
                <c:pt idx="7">
                  <c:v>73.375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BC-41C0-A4E1-29D5C8E840BB}"/>
            </c:ext>
          </c:extLst>
        </c:ser>
        <c:ser>
          <c:idx val="5"/>
          <c:order val="4"/>
          <c:tx>
            <c:v>Drought Line</c:v>
          </c:tx>
          <c:spPr>
            <a:ln w="1905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Scatter_Avg'!$N$10:$N$11</c:f>
              <c:numCache>
                <c:formatCode>General</c:formatCode>
                <c:ptCount val="2"/>
                <c:pt idx="0">
                  <c:v>20.415588949826159</c:v>
                </c:pt>
                <c:pt idx="1">
                  <c:v>20.415588949826159</c:v>
                </c:pt>
              </c:numCache>
            </c:numRef>
          </c:xVal>
          <c:yVal>
            <c:numRef>
              <c:f>'Asia Scatter_Avg'!$O$10:$O$11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BC-41C0-A4E1-29D5C8E840BB}"/>
            </c:ext>
          </c:extLst>
        </c:ser>
        <c:ser>
          <c:idx val="3"/>
          <c:order val="5"/>
          <c:tx>
            <c:strRef>
              <c:f>'Asia Scatter_Avg'!$M$12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Scatter_Avg'!$N$12:$N$13</c:f>
              <c:numCache>
                <c:formatCode>General</c:formatCode>
                <c:ptCount val="2"/>
                <c:pt idx="0">
                  <c:v>6.5080461442225168</c:v>
                </c:pt>
                <c:pt idx="1">
                  <c:v>6.5080461442225168</c:v>
                </c:pt>
              </c:numCache>
            </c:numRef>
          </c:xVal>
          <c:yVal>
            <c:numRef>
              <c:f>'Asia Scatter_Avg'!$O$12:$O$13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BC-41C0-A4E1-29D5C8E840BB}"/>
            </c:ext>
          </c:extLst>
        </c:ser>
        <c:ser>
          <c:idx val="6"/>
          <c:order val="6"/>
          <c:tx>
            <c:strRef>
              <c:f>'Asia Scatter_Avg'!$M$14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Scatter_Avg'!$N$14:$N$15</c:f>
              <c:numCache>
                <c:formatCode>General</c:formatCode>
                <c:ptCount val="2"/>
                <c:pt idx="0">
                  <c:v>42.31492122605141</c:v>
                </c:pt>
                <c:pt idx="1">
                  <c:v>42.31492122605141</c:v>
                </c:pt>
              </c:numCache>
            </c:numRef>
          </c:xVal>
          <c:yVal>
            <c:numRef>
              <c:f>'Asia Scatter_Avg'!$O$14:$O$15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BC-41C0-A4E1-29D5C8E840BB}"/>
            </c:ext>
          </c:extLst>
        </c:ser>
        <c:ser>
          <c:idx val="7"/>
          <c:order val="7"/>
          <c:tx>
            <c:strRef>
              <c:f>'Asia Scatter_Avg'!$M$16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Scatter_Avg'!$N$16:$N$17</c:f>
              <c:numCache>
                <c:formatCode>General</c:formatCode>
                <c:ptCount val="2"/>
                <c:pt idx="0">
                  <c:v>25.673129573325966</c:v>
                </c:pt>
                <c:pt idx="1">
                  <c:v>25.673129573325966</c:v>
                </c:pt>
              </c:numCache>
            </c:numRef>
          </c:xVal>
          <c:yVal>
            <c:numRef>
              <c:f>'Asia Scatter_Avg'!$O$16:$O$17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4BC-41C0-A4E1-29D5C8E840BB}"/>
            </c:ext>
          </c:extLst>
        </c:ser>
        <c:ser>
          <c:idx val="8"/>
          <c:order val="8"/>
          <c:tx>
            <c:strRef>
              <c:f>'Asia Scatter_Avg'!$M$18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Scatter_Avg'!$N$18:$N$19</c:f>
              <c:numCache>
                <c:formatCode>General</c:formatCode>
                <c:ptCount val="2"/>
                <c:pt idx="0">
                  <c:v>46.321118400954312</c:v>
                </c:pt>
                <c:pt idx="1">
                  <c:v>46.321118400954312</c:v>
                </c:pt>
              </c:numCache>
            </c:numRef>
          </c:xVal>
          <c:yVal>
            <c:numRef>
              <c:f>'Asia Scatter_Avg'!$O$18:$O$19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4BC-41C0-A4E1-29D5C8E840BB}"/>
            </c:ext>
          </c:extLst>
        </c:ser>
        <c:ser>
          <c:idx val="9"/>
          <c:order val="9"/>
          <c:tx>
            <c:strRef>
              <c:f>'Asia Scatter_Avg'!$M$20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Scatter_Avg'!$N$20:$N$21</c:f>
              <c:numCache>
                <c:formatCode>General</c:formatCode>
                <c:ptCount val="2"/>
                <c:pt idx="0">
                  <c:v>0.15960780320332846</c:v>
                </c:pt>
                <c:pt idx="1">
                  <c:v>0.15960780320332846</c:v>
                </c:pt>
              </c:numCache>
            </c:numRef>
          </c:xVal>
          <c:yVal>
            <c:numRef>
              <c:f>'Asia Scatter_Avg'!$O$20:$O$21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4BC-41C0-A4E1-29D5C8E840BB}"/>
            </c:ext>
          </c:extLst>
        </c:ser>
        <c:ser>
          <c:idx val="10"/>
          <c:order val="10"/>
          <c:tx>
            <c:strRef>
              <c:f>'Asia Scatter_Avg'!$M$26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Scatter_Avg'!$O$26:$O$27</c:f>
              <c:numCache>
                <c:formatCode>General</c:formatCode>
                <c:ptCount val="2"/>
                <c:pt idx="0">
                  <c:v>31.64</c:v>
                </c:pt>
                <c:pt idx="1">
                  <c:v>31.64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4BC-41C0-A4E1-29D5C8E840BB}"/>
            </c:ext>
          </c:extLst>
        </c:ser>
        <c:ser>
          <c:idx val="11"/>
          <c:order val="11"/>
          <c:tx>
            <c:strRef>
              <c:f>'Asia Scatter_Avg'!$M$28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Scatter_Avg'!$O$28:$O$29</c:f>
              <c:numCache>
                <c:formatCode>General</c:formatCode>
                <c:ptCount val="2"/>
                <c:pt idx="0">
                  <c:v>73.375</c:v>
                </c:pt>
                <c:pt idx="1">
                  <c:v>73.375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4BC-41C0-A4E1-29D5C8E840BB}"/>
            </c:ext>
          </c:extLst>
        </c:ser>
        <c:ser>
          <c:idx val="12"/>
          <c:order val="12"/>
          <c:tx>
            <c:strRef>
              <c:f>'Asia Scatter_Avg'!$M$30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Scatter_Avg'!$O$30:$O$31</c:f>
              <c:numCache>
                <c:formatCode>General</c:formatCode>
                <c:ptCount val="2"/>
                <c:pt idx="0">
                  <c:v>16.64</c:v>
                </c:pt>
                <c:pt idx="1">
                  <c:v>16.64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4BC-41C0-A4E1-29D5C8E840BB}"/>
            </c:ext>
          </c:extLst>
        </c:ser>
        <c:ser>
          <c:idx val="13"/>
          <c:order val="13"/>
          <c:tx>
            <c:strRef>
              <c:f>'Asia Scatter_Avg'!$M$32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Scatter_Avg'!$O$32:$O$33</c:f>
              <c:numCache>
                <c:formatCode>General</c:formatCode>
                <c:ptCount val="2"/>
                <c:pt idx="0">
                  <c:v>21.64</c:v>
                </c:pt>
                <c:pt idx="1">
                  <c:v>21.64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4BC-41C0-A4E1-29D5C8E840BB}"/>
            </c:ext>
          </c:extLst>
        </c:ser>
        <c:ser>
          <c:idx val="14"/>
          <c:order val="14"/>
          <c:tx>
            <c:strRef>
              <c:f>'Asia Scatter_Avg'!$M$34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Scatter_Avg'!$O$34:$O$35</c:f>
              <c:numCache>
                <c:formatCode>General</c:formatCode>
                <c:ptCount val="2"/>
                <c:pt idx="0">
                  <c:v>31.64</c:v>
                </c:pt>
                <c:pt idx="1">
                  <c:v>31.64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4BC-41C0-A4E1-29D5C8E840BB}"/>
            </c:ext>
          </c:extLst>
        </c:ser>
        <c:ser>
          <c:idx val="15"/>
          <c:order val="15"/>
          <c:tx>
            <c:strRef>
              <c:f>'Asia Scatter_Avg'!$M$36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Scatter_Avg'!$O$36:$O$37</c:f>
              <c:numCache>
                <c:formatCode>General</c:formatCode>
                <c:ptCount val="2"/>
                <c:pt idx="0">
                  <c:v>19.14</c:v>
                </c:pt>
                <c:pt idx="1">
                  <c:v>19.14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E4BC-41C0-A4E1-29D5C8E840BB}"/>
            </c:ext>
          </c:extLst>
        </c:ser>
        <c:ser>
          <c:idx val="16"/>
          <c:order val="16"/>
          <c:tx>
            <c:v>Extreme Temp</c:v>
          </c:tx>
          <c:spPr>
            <a:ln w="44450" cap="rnd">
              <a:solidFill>
                <a:srgbClr val="D2FA9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Scatter_Avg'!$N$22:$N$23</c:f>
              <c:numCache>
                <c:formatCode>General</c:formatCode>
                <c:ptCount val="2"/>
                <c:pt idx="0">
                  <c:v>99.9</c:v>
                </c:pt>
                <c:pt idx="1">
                  <c:v>99.9</c:v>
                </c:pt>
              </c:numCache>
            </c:numRef>
          </c:xVal>
          <c:yVal>
            <c:numRef>
              <c:f>'Asia Scatter_Avg'!$O$22:$O$23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4BC-41C0-A4E1-29D5C8E840BB}"/>
            </c:ext>
          </c:extLst>
        </c:ser>
        <c:ser>
          <c:idx val="17"/>
          <c:order val="17"/>
          <c:tx>
            <c:strRef>
              <c:f>'Asia Scatter_Avg'!$M$24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Scatter_Avg'!$N$24:$N$25</c:f>
              <c:numCache>
                <c:formatCode>General</c:formatCode>
                <c:ptCount val="2"/>
                <c:pt idx="0">
                  <c:v>3.0898590360919975</c:v>
                </c:pt>
                <c:pt idx="1">
                  <c:v>3.0898590360919975</c:v>
                </c:pt>
              </c:numCache>
            </c:numRef>
          </c:xVal>
          <c:yVal>
            <c:numRef>
              <c:f>'Asia Scatter_Avg'!$O$24:$O$25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4BC-41C0-A4E1-29D5C8E84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(AVERAGE)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ASIA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003171500331561"/>
          <c:y val="1.8259069094927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'Asia Scatter_Median'!$O$4:$O$5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BA-47A6-B4DF-0526D607790A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'Asia Scatter_Median'!$O$6:$O$7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BA-47A6-B4DF-0526D607790A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Scatter_Median'!$O$8:$O$9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BA-47A6-B4DF-0526D607790A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'Asia Scatter_Median'!$R$25:$R$32</c:f>
              <c:numCache>
                <c:formatCode>General</c:formatCode>
                <c:ptCount val="8"/>
                <c:pt idx="0">
                  <c:v>28.571428571428569</c:v>
                </c:pt>
                <c:pt idx="1">
                  <c:v>99.9</c:v>
                </c:pt>
                <c:pt idx="2">
                  <c:v>99.9</c:v>
                </c:pt>
                <c:pt idx="3">
                  <c:v>99.9</c:v>
                </c:pt>
                <c:pt idx="4">
                  <c:v>99.9</c:v>
                </c:pt>
                <c:pt idx="5">
                  <c:v>99.9</c:v>
                </c:pt>
                <c:pt idx="6">
                  <c:v>99.9</c:v>
                </c:pt>
              </c:numCache>
            </c:numRef>
          </c:xVal>
          <c:yVal>
            <c:numRef>
              <c:f>'Asia Scatter_Median'!$S$25:$S$32</c:f>
              <c:numCache>
                <c:formatCode>General</c:formatCode>
                <c:ptCount val="8"/>
                <c:pt idx="0">
                  <c:v>73.375</c:v>
                </c:pt>
                <c:pt idx="1">
                  <c:v>31.64</c:v>
                </c:pt>
                <c:pt idx="2">
                  <c:v>73.375</c:v>
                </c:pt>
                <c:pt idx="3">
                  <c:v>16.64</c:v>
                </c:pt>
                <c:pt idx="4">
                  <c:v>21.64</c:v>
                </c:pt>
                <c:pt idx="5">
                  <c:v>31.64</c:v>
                </c:pt>
                <c:pt idx="6">
                  <c:v>19.14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BA-47A6-B4DF-0526D607790A}"/>
            </c:ext>
          </c:extLst>
        </c:ser>
        <c:ser>
          <c:idx val="5"/>
          <c:order val="4"/>
          <c:tx>
            <c:v>Drought Line</c:v>
          </c:tx>
          <c:spPr>
            <a:ln w="1905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FC8C0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C6BA-47A6-B4DF-0526D607790A}"/>
              </c:ext>
            </c:extLst>
          </c:dPt>
          <c:xVal>
            <c:numRef>
              <c:f>'Asia Scatter_Median'!$N$10:$N$11</c:f>
              <c:numCache>
                <c:formatCode>General</c:formatCode>
                <c:ptCount val="2"/>
                <c:pt idx="0">
                  <c:v>28.571428571428569</c:v>
                </c:pt>
                <c:pt idx="1">
                  <c:v>28.571428571428569</c:v>
                </c:pt>
              </c:numCache>
            </c:numRef>
          </c:xVal>
          <c:yVal>
            <c:numRef>
              <c:f>'Asia Scatter_Median'!$O$10:$O$11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BA-47A6-B4DF-0526D607790A}"/>
            </c:ext>
          </c:extLst>
        </c:ser>
        <c:ser>
          <c:idx val="3"/>
          <c:order val="5"/>
          <c:tx>
            <c:strRef>
              <c:f>'Asia Scatter_Median'!$M$12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Scatter_Median'!$N$12:$N$13</c:f>
              <c:numCache>
                <c:formatCode>General</c:formatCode>
                <c:ptCount val="2"/>
                <c:pt idx="0">
                  <c:v>4.0816326530612246</c:v>
                </c:pt>
                <c:pt idx="1">
                  <c:v>4.0816326530612246</c:v>
                </c:pt>
              </c:numCache>
            </c:numRef>
          </c:xVal>
          <c:yVal>
            <c:numRef>
              <c:f>'Asia Scatter_Median'!$O$12:$O$13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BA-47A6-B4DF-0526D607790A}"/>
            </c:ext>
          </c:extLst>
        </c:ser>
        <c:ser>
          <c:idx val="16"/>
          <c:order val="6"/>
          <c:tx>
            <c:v>Extreme Temp</c:v>
          </c:tx>
          <c:spPr>
            <a:ln w="38100" cap="rnd">
              <a:solidFill>
                <a:srgbClr val="D2FA9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Scatter_Median'!$N$22:$N$23</c:f>
              <c:numCache>
                <c:formatCode>General</c:formatCode>
                <c:ptCount val="2"/>
                <c:pt idx="0">
                  <c:v>99.9</c:v>
                </c:pt>
                <c:pt idx="1">
                  <c:v>99.9</c:v>
                </c:pt>
              </c:numCache>
            </c:numRef>
          </c:xVal>
          <c:yVal>
            <c:numRef>
              <c:f>'Asia Scatter_Median'!$O$22:$O$23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C6BA-47A6-B4DF-0526D607790A}"/>
            </c:ext>
          </c:extLst>
        </c:ser>
        <c:ser>
          <c:idx val="6"/>
          <c:order val="7"/>
          <c:tx>
            <c:strRef>
              <c:f>'Asia Scatter_Median'!$M$14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Scatter_Median'!$N$14:$N$15</c:f>
              <c:numCache>
                <c:formatCode>General</c:formatCode>
                <c:ptCount val="2"/>
                <c:pt idx="0">
                  <c:v>4.0816326530612246</c:v>
                </c:pt>
                <c:pt idx="1">
                  <c:v>4.0816326530612246</c:v>
                </c:pt>
              </c:numCache>
            </c:numRef>
          </c:xVal>
          <c:yVal>
            <c:numRef>
              <c:f>'Asia Scatter_Median'!$O$14:$O$15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6BA-47A6-B4DF-0526D607790A}"/>
            </c:ext>
          </c:extLst>
        </c:ser>
        <c:ser>
          <c:idx val="7"/>
          <c:order val="8"/>
          <c:tx>
            <c:strRef>
              <c:f>'Asia Scatter_Median'!$M$16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Scatter_Median'!$N$16:$N$17</c:f>
              <c:numCache>
                <c:formatCode>General</c:formatCode>
                <c:ptCount val="2"/>
                <c:pt idx="0">
                  <c:v>2.4489795918367347</c:v>
                </c:pt>
                <c:pt idx="1">
                  <c:v>2.4489795918367347</c:v>
                </c:pt>
              </c:numCache>
            </c:numRef>
          </c:xVal>
          <c:yVal>
            <c:numRef>
              <c:f>'Asia Scatter_Median'!$O$16:$O$17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6BA-47A6-B4DF-0526D607790A}"/>
            </c:ext>
          </c:extLst>
        </c:ser>
        <c:ser>
          <c:idx val="8"/>
          <c:order val="9"/>
          <c:tx>
            <c:strRef>
              <c:f>'Asia Scatter_Median'!$M$18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Scatter_Median'!$N$18:$N$19</c:f>
              <c:numCache>
                <c:formatCode>General</c:formatCode>
                <c:ptCount val="2"/>
                <c:pt idx="0">
                  <c:v>5.2220408163265306</c:v>
                </c:pt>
                <c:pt idx="1">
                  <c:v>5.2220408163265306</c:v>
                </c:pt>
              </c:numCache>
            </c:numRef>
          </c:xVal>
          <c:yVal>
            <c:numRef>
              <c:f>'Asia Scatter_Median'!$O$18:$O$19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BA-47A6-B4DF-0526D607790A}"/>
            </c:ext>
          </c:extLst>
        </c:ser>
        <c:ser>
          <c:idx val="9"/>
          <c:order val="10"/>
          <c:tx>
            <c:strRef>
              <c:f>'Asia Scatter_Median'!$M$20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Scatter_Median'!$N$20:$N$21</c:f>
              <c:numCache>
                <c:formatCode>General</c:formatCode>
                <c:ptCount val="2"/>
                <c:pt idx="0">
                  <c:v>0.27795918367346939</c:v>
                </c:pt>
                <c:pt idx="1">
                  <c:v>0.27795918367346939</c:v>
                </c:pt>
              </c:numCache>
            </c:numRef>
          </c:xVal>
          <c:yVal>
            <c:numRef>
              <c:f>'Asia Scatter_Median'!$O$20:$O$21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6BA-47A6-B4DF-0526D607790A}"/>
            </c:ext>
          </c:extLst>
        </c:ser>
        <c:ser>
          <c:idx val="17"/>
          <c:order val="11"/>
          <c:tx>
            <c:strRef>
              <c:f>'Asia Scatter_Median'!$M$24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Scatter_Median'!$N$24:$N$25</c:f>
              <c:numCache>
                <c:formatCode>General</c:formatCode>
                <c:ptCount val="2"/>
                <c:pt idx="0">
                  <c:v>5.7142857142857144</c:v>
                </c:pt>
                <c:pt idx="1">
                  <c:v>5.7142857142857144</c:v>
                </c:pt>
              </c:numCache>
            </c:numRef>
          </c:xVal>
          <c:yVal>
            <c:numRef>
              <c:f>'Asia Scatter_Median'!$O$24:$O$25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C6BA-47A6-B4DF-0526D607790A}"/>
            </c:ext>
          </c:extLst>
        </c:ser>
        <c:ser>
          <c:idx val="11"/>
          <c:order val="12"/>
          <c:tx>
            <c:strRef>
              <c:f>'Asia Scatter_Median'!$M$28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Scatter_Median'!$O$28:$O$29</c:f>
              <c:numCache>
                <c:formatCode>General</c:formatCode>
                <c:ptCount val="2"/>
                <c:pt idx="0">
                  <c:v>73.375</c:v>
                </c:pt>
                <c:pt idx="1">
                  <c:v>73.375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6BA-47A6-B4DF-0526D607790A}"/>
            </c:ext>
          </c:extLst>
        </c:ser>
        <c:ser>
          <c:idx val="10"/>
          <c:order val="13"/>
          <c:tx>
            <c:strRef>
              <c:f>'Asia Scatter_Median'!$M$26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Scatter_Median'!$O$26:$O$27</c:f>
              <c:numCache>
                <c:formatCode>General</c:formatCode>
                <c:ptCount val="2"/>
                <c:pt idx="0">
                  <c:v>31.64</c:v>
                </c:pt>
                <c:pt idx="1">
                  <c:v>31.64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6BA-47A6-B4DF-0526D607790A}"/>
            </c:ext>
          </c:extLst>
        </c:ser>
        <c:ser>
          <c:idx val="14"/>
          <c:order val="14"/>
          <c:tx>
            <c:strRef>
              <c:f>'Asia Scatter_Median'!$M$34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Scatter_Median'!$O$34:$O$35</c:f>
              <c:numCache>
                <c:formatCode>General</c:formatCode>
                <c:ptCount val="2"/>
                <c:pt idx="0">
                  <c:v>31.64</c:v>
                </c:pt>
                <c:pt idx="1">
                  <c:v>31.64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6BA-47A6-B4DF-0526D607790A}"/>
            </c:ext>
          </c:extLst>
        </c:ser>
        <c:ser>
          <c:idx val="12"/>
          <c:order val="15"/>
          <c:tx>
            <c:strRef>
              <c:f>'Asia Scatter_Median'!$M$30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Scatter_Median'!$O$30:$O$31</c:f>
              <c:numCache>
                <c:formatCode>General</c:formatCode>
                <c:ptCount val="2"/>
                <c:pt idx="0">
                  <c:v>16.64</c:v>
                </c:pt>
                <c:pt idx="1">
                  <c:v>16.64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6BA-47A6-B4DF-0526D607790A}"/>
            </c:ext>
          </c:extLst>
        </c:ser>
        <c:ser>
          <c:idx val="13"/>
          <c:order val="16"/>
          <c:tx>
            <c:strRef>
              <c:f>'Asia Scatter_Median'!$M$32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Scatter_Median'!$O$32:$O$33</c:f>
              <c:numCache>
                <c:formatCode>General</c:formatCode>
                <c:ptCount val="2"/>
                <c:pt idx="0">
                  <c:v>21.64</c:v>
                </c:pt>
                <c:pt idx="1">
                  <c:v>21.64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6BA-47A6-B4DF-0526D607790A}"/>
            </c:ext>
          </c:extLst>
        </c:ser>
        <c:ser>
          <c:idx val="15"/>
          <c:order val="17"/>
          <c:tx>
            <c:strRef>
              <c:f>'Asia Scatter_Median'!$M$36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'Asia Scatter_Median'!$N$36:$N$37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'Asia Scatter_Median'!$O$36:$O$37</c:f>
              <c:numCache>
                <c:formatCode>General</c:formatCode>
                <c:ptCount val="2"/>
                <c:pt idx="0">
                  <c:v>19.14</c:v>
                </c:pt>
                <c:pt idx="1">
                  <c:v>19.14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6BA-47A6-B4DF-0526D6077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(MEDIAN)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NORTH AMERICA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457092013232044"/>
          <c:y val="1.8259069094927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'North America Scatter_Median'!$O$4:$O$5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04-4180-B94C-5302619A5F87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'North America Scatter_Median'!$O$6:$O$7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04-4180-B94C-5302619A5F87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'North America Scatter_Median'!$O$8:$O$9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04-4180-B94C-5302619A5F87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'North America Scatter_Median'!$R$25:$R$32</c:f>
              <c:numCache>
                <c:formatCode>General</c:formatCode>
                <c:ptCount val="8"/>
                <c:pt idx="0">
                  <c:v>30.434782608695656</c:v>
                </c:pt>
              </c:numCache>
            </c:numRef>
          </c:xVal>
          <c:yVal>
            <c:numRef>
              <c:f>'North America Scatter_Median'!$S$25:$S$32</c:f>
              <c:numCache>
                <c:formatCode>General</c:formatCode>
                <c:ptCount val="8"/>
                <c:pt idx="0">
                  <c:v>74.760000000000005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04-4180-B94C-5302619A5F87}"/>
            </c:ext>
          </c:extLst>
        </c:ser>
        <c:ser>
          <c:idx val="5"/>
          <c:order val="4"/>
          <c:tx>
            <c:v>Drought Line</c:v>
          </c:tx>
          <c:spPr>
            <a:ln w="3810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Scatter_Median'!$N$10:$N$11</c:f>
              <c:numCache>
                <c:formatCode>General</c:formatCode>
                <c:ptCount val="2"/>
                <c:pt idx="0">
                  <c:v>30.434782608695656</c:v>
                </c:pt>
                <c:pt idx="1">
                  <c:v>30.434782608695656</c:v>
                </c:pt>
              </c:numCache>
            </c:numRef>
          </c:xVal>
          <c:yVal>
            <c:numRef>
              <c:f>'North America Scatter_Median'!$O$10:$O$11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04-4180-B94C-5302619A5F87}"/>
            </c:ext>
          </c:extLst>
        </c:ser>
        <c:ser>
          <c:idx val="3"/>
          <c:order val="5"/>
          <c:tx>
            <c:strRef>
              <c:f>'North America Scatter_Median'!$M$12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Scatter_Median'!$N$12:$N$13</c:f>
              <c:numCache>
                <c:formatCode>General</c:formatCode>
                <c:ptCount val="2"/>
                <c:pt idx="0">
                  <c:v>1.5</c:v>
                </c:pt>
                <c:pt idx="1">
                  <c:v>1.5</c:v>
                </c:pt>
              </c:numCache>
            </c:numRef>
          </c:xVal>
          <c:yVal>
            <c:numRef>
              <c:f>'North America Scatter_Median'!$O$12:$O$13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04-4180-B94C-5302619A5F87}"/>
            </c:ext>
          </c:extLst>
        </c:ser>
        <c:ser>
          <c:idx val="16"/>
          <c:order val="6"/>
          <c:tx>
            <c:v>Extreme Temp</c:v>
          </c:tx>
          <c:spPr>
            <a:ln w="19050" cap="rnd">
              <a:solidFill>
                <a:srgbClr val="D2FA9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Scatter_Median'!$N$22:$N$23</c:f>
              <c:numCache>
                <c:formatCode>General</c:formatCode>
                <c:ptCount val="2"/>
                <c:pt idx="0">
                  <c:v>2.1739130434782608</c:v>
                </c:pt>
                <c:pt idx="1">
                  <c:v>2.1739130434782608</c:v>
                </c:pt>
              </c:numCache>
            </c:numRef>
          </c:xVal>
          <c:yVal>
            <c:numRef>
              <c:f>'North America Scatter_Median'!$O$22:$O$23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B04-4180-B94C-5302619A5F87}"/>
            </c:ext>
          </c:extLst>
        </c:ser>
        <c:ser>
          <c:idx val="6"/>
          <c:order val="7"/>
          <c:tx>
            <c:strRef>
              <c:f>'North America Scatter_Median'!$M$14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Scatter_Median'!$N$14:$N$15</c:f>
              <c:numCache>
                <c:formatCode>General</c:formatCode>
                <c:ptCount val="2"/>
                <c:pt idx="0">
                  <c:v>4.3478260869565215</c:v>
                </c:pt>
                <c:pt idx="1">
                  <c:v>4.3478260869565215</c:v>
                </c:pt>
              </c:numCache>
            </c:numRef>
          </c:xVal>
          <c:yVal>
            <c:numRef>
              <c:f>'North America Scatter_Median'!$O$14:$O$15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04-4180-B94C-5302619A5F87}"/>
            </c:ext>
          </c:extLst>
        </c:ser>
        <c:ser>
          <c:idx val="7"/>
          <c:order val="8"/>
          <c:tx>
            <c:strRef>
              <c:f>'North America Scatter_Median'!$M$16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Scatter_Median'!$N$16:$N$17</c:f>
              <c:numCache>
                <c:formatCode>General</c:formatCode>
                <c:ptCount val="2"/>
                <c:pt idx="0">
                  <c:v>0.75652173913043486</c:v>
                </c:pt>
                <c:pt idx="1">
                  <c:v>0.75652173913043486</c:v>
                </c:pt>
              </c:numCache>
            </c:numRef>
          </c:xVal>
          <c:yVal>
            <c:numRef>
              <c:f>'North America Scatter_Median'!$O$16:$O$17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04-4180-B94C-5302619A5F87}"/>
            </c:ext>
          </c:extLst>
        </c:ser>
        <c:ser>
          <c:idx val="8"/>
          <c:order val="9"/>
          <c:tx>
            <c:strRef>
              <c:f>'North America Scatter_Median'!$M$18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381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Scatter_Median'!$N$18:$N$19</c:f>
              <c:numCache>
                <c:formatCode>General</c:formatCode>
                <c:ptCount val="2"/>
                <c:pt idx="0">
                  <c:v>13.043478260869565</c:v>
                </c:pt>
                <c:pt idx="1">
                  <c:v>13.043478260869565</c:v>
                </c:pt>
              </c:numCache>
            </c:numRef>
          </c:xVal>
          <c:yVal>
            <c:numRef>
              <c:f>'North America Scatter_Median'!$O$18:$O$19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04-4180-B94C-5302619A5F87}"/>
            </c:ext>
          </c:extLst>
        </c:ser>
        <c:ser>
          <c:idx val="9"/>
          <c:order val="10"/>
          <c:tx>
            <c:strRef>
              <c:f>'North America Scatter_Median'!$M$20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Scatter_Median'!$N$20:$N$21</c:f>
              <c:numCache>
                <c:formatCode>General</c:formatCode>
                <c:ptCount val="2"/>
                <c:pt idx="0">
                  <c:v>5.5847826086956518</c:v>
                </c:pt>
                <c:pt idx="1">
                  <c:v>5.5847826086956518</c:v>
                </c:pt>
              </c:numCache>
            </c:numRef>
          </c:xVal>
          <c:yVal>
            <c:numRef>
              <c:f>'North America Scatter_Median'!$O$20:$O$21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B04-4180-B94C-5302619A5F87}"/>
            </c:ext>
          </c:extLst>
        </c:ser>
        <c:ser>
          <c:idx val="17"/>
          <c:order val="11"/>
          <c:tx>
            <c:strRef>
              <c:f>'North America Scatter_Median'!$M$24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Scatter_Median'!$N$24:$N$25</c:f>
              <c:numCache>
                <c:formatCode>General</c:formatCode>
                <c:ptCount val="2"/>
                <c:pt idx="0">
                  <c:v>3.152173913043478</c:v>
                </c:pt>
                <c:pt idx="1">
                  <c:v>3.152173913043478</c:v>
                </c:pt>
              </c:numCache>
            </c:numRef>
          </c:xVal>
          <c:yVal>
            <c:numRef>
              <c:f>'North America Scatter_Median'!$O$24:$O$25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B04-4180-B94C-5302619A5F87}"/>
            </c:ext>
          </c:extLst>
        </c:ser>
        <c:ser>
          <c:idx val="11"/>
          <c:order val="12"/>
          <c:tx>
            <c:strRef>
              <c:f>'North America Scatter_Median'!$M$28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'North America Scatter_Median'!$O$28:$O$29</c:f>
              <c:numCache>
                <c:formatCode>General</c:formatCode>
                <c:ptCount val="2"/>
                <c:pt idx="0">
                  <c:v>74.760000000000005</c:v>
                </c:pt>
                <c:pt idx="1">
                  <c:v>74.760000000000005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B04-4180-B94C-5302619A5F87}"/>
            </c:ext>
          </c:extLst>
        </c:ser>
        <c:ser>
          <c:idx val="10"/>
          <c:order val="13"/>
          <c:tx>
            <c:strRef>
              <c:f>'North America Scatter_Median'!$M$26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'North America Scatter_Median'!$O$26:$O$27</c:f>
              <c:numCache>
                <c:formatCode>General</c:formatCode>
                <c:ptCount val="2"/>
                <c:pt idx="0">
                  <c:v>38.36</c:v>
                </c:pt>
                <c:pt idx="1">
                  <c:v>38.36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B04-4180-B94C-5302619A5F87}"/>
            </c:ext>
          </c:extLst>
        </c:ser>
        <c:ser>
          <c:idx val="14"/>
          <c:order val="14"/>
          <c:tx>
            <c:strRef>
              <c:f>'North America Scatter_Median'!$M$34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'North America Scatter_Median'!$O$34:$O$35</c:f>
              <c:numCache>
                <c:formatCode>General</c:formatCode>
                <c:ptCount val="2"/>
                <c:pt idx="0">
                  <c:v>21.12</c:v>
                </c:pt>
                <c:pt idx="1">
                  <c:v>21.12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B04-4180-B94C-5302619A5F87}"/>
            </c:ext>
          </c:extLst>
        </c:ser>
        <c:ser>
          <c:idx val="12"/>
          <c:order val="15"/>
          <c:tx>
            <c:strRef>
              <c:f>'North America Scatter_Median'!$M$30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'North America Scatter_Median'!$O$30:$O$31</c:f>
              <c:numCache>
                <c:formatCode>General</c:formatCode>
                <c:ptCount val="2"/>
                <c:pt idx="0">
                  <c:v>15.97</c:v>
                </c:pt>
                <c:pt idx="1">
                  <c:v>15.97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B04-4180-B94C-5302619A5F87}"/>
            </c:ext>
          </c:extLst>
        </c:ser>
        <c:ser>
          <c:idx val="13"/>
          <c:order val="16"/>
          <c:tx>
            <c:strRef>
              <c:f>'North America Scatter_Median'!$M$32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'North America Scatter_Median'!$O$32:$O$33</c:f>
              <c:numCache>
                <c:formatCode>General</c:formatCode>
                <c:ptCount val="2"/>
                <c:pt idx="0">
                  <c:v>21.12</c:v>
                </c:pt>
                <c:pt idx="1">
                  <c:v>21.12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B04-4180-B94C-5302619A5F87}"/>
            </c:ext>
          </c:extLst>
        </c:ser>
        <c:ser>
          <c:idx val="15"/>
          <c:order val="17"/>
          <c:tx>
            <c:strRef>
              <c:f>'North America Scatter_Median'!$M$36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'North America Scatter_Median'!$N$36:$N$37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'North America Scatter_Median'!$O$36:$O$37</c:f>
              <c:numCache>
                <c:formatCode>General</c:formatCode>
                <c:ptCount val="2"/>
                <c:pt idx="0">
                  <c:v>11.88</c:v>
                </c:pt>
                <c:pt idx="1">
                  <c:v>11.88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B04-4180-B94C-5302619A5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(MEDIAN)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SOUTH AMERICA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457092013232044"/>
          <c:y val="1.82590690949274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'South America Scatter_Median'!$O$4:$O$5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1C-4F1F-AE12-82A97D9FF54E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'South America Scatter_Median'!$O$6:$O$7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C-4F1F-AE12-82A97D9FF54E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'South America Scatter_Median'!$O$8:$O$9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1C-4F1F-AE12-82A97D9FF54E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'South America Scatter_Median'!$R$25:$R$32</c:f>
              <c:numCache>
                <c:formatCode>General</c:formatCode>
                <c:ptCount val="8"/>
                <c:pt idx="0">
                  <c:v>2.5862068965517242</c:v>
                </c:pt>
                <c:pt idx="1">
                  <c:v>1.1505747126436781</c:v>
                </c:pt>
              </c:numCache>
            </c:numRef>
          </c:xVal>
          <c:yVal>
            <c:numRef>
              <c:f>'South America Scatter_Median'!$S$25:$S$32</c:f>
              <c:numCache>
                <c:formatCode>General</c:formatCode>
                <c:ptCount val="8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1C-4F1F-AE12-82A97D9FF54E}"/>
            </c:ext>
          </c:extLst>
        </c:ser>
        <c:ser>
          <c:idx val="5"/>
          <c:order val="4"/>
          <c:tx>
            <c:v>Drought Line</c:v>
          </c:tx>
          <c:spPr>
            <a:ln w="1905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Scatter_Median'!$N$10:$N$11</c:f>
              <c:numCache>
                <c:formatCode>General</c:formatCode>
                <c:ptCount val="2"/>
                <c:pt idx="0">
                  <c:v>0.3781609195402299</c:v>
                </c:pt>
                <c:pt idx="1">
                  <c:v>0.3781609195402299</c:v>
                </c:pt>
              </c:numCache>
            </c:numRef>
          </c:xVal>
          <c:yVal>
            <c:numRef>
              <c:f>'South America Scatter_Median'!$O$10:$O$11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1C-4F1F-AE12-82A97D9FF54E}"/>
            </c:ext>
          </c:extLst>
        </c:ser>
        <c:ser>
          <c:idx val="3"/>
          <c:order val="5"/>
          <c:tx>
            <c:strRef>
              <c:f>'South America Scatter_Median'!$M$12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Scatter_Median'!$N$12:$N$13</c:f>
              <c:numCache>
                <c:formatCode>General</c:formatCode>
                <c:ptCount val="2"/>
                <c:pt idx="0">
                  <c:v>2.5862068965517242</c:v>
                </c:pt>
                <c:pt idx="1">
                  <c:v>2.5862068965517242</c:v>
                </c:pt>
              </c:numCache>
            </c:numRef>
          </c:xVal>
          <c:yVal>
            <c:numRef>
              <c:f>'South America Scatter_Median'!$O$12:$O$13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1C-4F1F-AE12-82A97D9FF54E}"/>
            </c:ext>
          </c:extLst>
        </c:ser>
        <c:ser>
          <c:idx val="6"/>
          <c:order val="6"/>
          <c:tx>
            <c:strRef>
              <c:f>'South America Scatter_Median'!$M$14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Scatter_Median'!$N$14:$N$15</c:f>
              <c:numCache>
                <c:formatCode>General</c:formatCode>
                <c:ptCount val="2"/>
                <c:pt idx="0">
                  <c:v>0.57471264367816088</c:v>
                </c:pt>
                <c:pt idx="1">
                  <c:v>0.57471264367816088</c:v>
                </c:pt>
              </c:numCache>
            </c:numRef>
          </c:xVal>
          <c:yVal>
            <c:numRef>
              <c:f>'South America Scatter_Median'!$O$14:$O$15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51C-4F1F-AE12-82A97D9FF54E}"/>
            </c:ext>
          </c:extLst>
        </c:ser>
        <c:ser>
          <c:idx val="7"/>
          <c:order val="7"/>
          <c:tx>
            <c:strRef>
              <c:f>'South America Scatter_Median'!$M$16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Scatter_Median'!$N$16:$N$17</c:f>
              <c:numCache>
                <c:formatCode>General</c:formatCode>
                <c:ptCount val="2"/>
                <c:pt idx="0">
                  <c:v>0.57471264367816088</c:v>
                </c:pt>
                <c:pt idx="1">
                  <c:v>0.57471264367816088</c:v>
                </c:pt>
              </c:numCache>
            </c:numRef>
          </c:xVal>
          <c:yVal>
            <c:numRef>
              <c:f>'South America Scatter_Median'!$O$16:$O$17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51C-4F1F-AE12-82A97D9FF54E}"/>
            </c:ext>
          </c:extLst>
        </c:ser>
        <c:ser>
          <c:idx val="8"/>
          <c:order val="8"/>
          <c:tx>
            <c:strRef>
              <c:f>'South America Scatter_Median'!$M$18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Scatter_Median'!$N$18:$N$19</c:f>
              <c:numCache>
                <c:formatCode>General</c:formatCode>
                <c:ptCount val="2"/>
                <c:pt idx="0">
                  <c:v>0.57471264367816088</c:v>
                </c:pt>
                <c:pt idx="1">
                  <c:v>0.57471264367816088</c:v>
                </c:pt>
              </c:numCache>
            </c:numRef>
          </c:xVal>
          <c:yVal>
            <c:numRef>
              <c:f>'South America Scatter_Median'!$O$18:$O$19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51C-4F1F-AE12-82A97D9FF54E}"/>
            </c:ext>
          </c:extLst>
        </c:ser>
        <c:ser>
          <c:idx val="9"/>
          <c:order val="9"/>
          <c:tx>
            <c:strRef>
              <c:f>'South America Scatter_Median'!$M$20</c:f>
              <c:strCache>
                <c:ptCount val="1"/>
                <c:pt idx="0">
                  <c:v>Volcano Line</c:v>
                </c:pt>
              </c:strCache>
            </c:strRef>
          </c:tx>
          <c:spPr>
            <a:ln w="38100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Scatter_Median'!$N$20:$N$21</c:f>
              <c:numCache>
                <c:formatCode>General</c:formatCode>
                <c:ptCount val="2"/>
                <c:pt idx="0">
                  <c:v>1.1505747126436781</c:v>
                </c:pt>
                <c:pt idx="1">
                  <c:v>1.1505747126436781</c:v>
                </c:pt>
              </c:numCache>
            </c:numRef>
          </c:xVal>
          <c:yVal>
            <c:numRef>
              <c:f>'South America Scatter_Median'!$O$20:$O$21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51C-4F1F-AE12-82A97D9FF54E}"/>
            </c:ext>
          </c:extLst>
        </c:ser>
        <c:ser>
          <c:idx val="17"/>
          <c:order val="10"/>
          <c:tx>
            <c:strRef>
              <c:f>'South America Scatter_Median'!$M$24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Scatter_Median'!$N$24:$N$25</c:f>
              <c:numCache>
                <c:formatCode>General</c:formatCode>
                <c:ptCount val="2"/>
                <c:pt idx="0">
                  <c:v>0.40229885057471265</c:v>
                </c:pt>
                <c:pt idx="1">
                  <c:v>0.40229885057471265</c:v>
                </c:pt>
              </c:numCache>
            </c:numRef>
          </c:xVal>
          <c:yVal>
            <c:numRef>
              <c:f>'South America Scatter_Median'!$O$24:$O$25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51C-4F1F-AE12-82A97D9FF54E}"/>
            </c:ext>
          </c:extLst>
        </c:ser>
        <c:ser>
          <c:idx val="11"/>
          <c:order val="11"/>
          <c:tx>
            <c:strRef>
              <c:f>'South America Scatter_Median'!$M$28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'South America Scatter_Median'!$O$28:$O$29</c:f>
              <c:numCache>
                <c:formatCode>General</c:formatCode>
                <c:ptCount val="2"/>
                <c:pt idx="0">
                  <c:v>98.5</c:v>
                </c:pt>
                <c:pt idx="1">
                  <c:v>98.5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51C-4F1F-AE12-82A97D9FF54E}"/>
            </c:ext>
          </c:extLst>
        </c:ser>
        <c:ser>
          <c:idx val="10"/>
          <c:order val="12"/>
          <c:tx>
            <c:strRef>
              <c:f>'South America Scatter_Median'!$M$26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'South America Scatter_Median'!$O$26:$O$27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51C-4F1F-AE12-82A97D9FF54E}"/>
            </c:ext>
          </c:extLst>
        </c:ser>
        <c:ser>
          <c:idx val="14"/>
          <c:order val="13"/>
          <c:tx>
            <c:strRef>
              <c:f>'South America Scatter_Median'!$M$34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'South America Scatter_Median'!$O$34:$O$35</c:f>
              <c:numCache>
                <c:formatCode>General</c:formatCode>
                <c:ptCount val="2"/>
                <c:pt idx="0">
                  <c:v>42.5</c:v>
                </c:pt>
                <c:pt idx="1">
                  <c:v>42.5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51C-4F1F-AE12-82A97D9FF54E}"/>
            </c:ext>
          </c:extLst>
        </c:ser>
        <c:ser>
          <c:idx val="12"/>
          <c:order val="14"/>
          <c:tx>
            <c:strRef>
              <c:f>'South America Scatter_Median'!$M$30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'South America Scatter_Median'!$O$30:$O$31</c:f>
              <c:numCache>
                <c:formatCode>General</c:formatCode>
                <c:ptCount val="2"/>
                <c:pt idx="0">
                  <c:v>63.5</c:v>
                </c:pt>
                <c:pt idx="1">
                  <c:v>63.5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51C-4F1F-AE12-82A97D9FF54E}"/>
            </c:ext>
          </c:extLst>
        </c:ser>
        <c:ser>
          <c:idx val="13"/>
          <c:order val="15"/>
          <c:tx>
            <c:strRef>
              <c:f>'South America Scatter_Median'!$M$32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'South America Scatter_Median'!$O$32:$O$33</c:f>
              <c:numCache>
                <c:formatCode>General</c:formatCode>
                <c:ptCount val="2"/>
                <c:pt idx="0">
                  <c:v>66</c:v>
                </c:pt>
                <c:pt idx="1">
                  <c:v>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51C-4F1F-AE12-82A97D9FF54E}"/>
            </c:ext>
          </c:extLst>
        </c:ser>
        <c:ser>
          <c:idx val="15"/>
          <c:order val="16"/>
          <c:tx>
            <c:strRef>
              <c:f>'South America Scatter_Median'!$M$36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'South America Scatter_Median'!$N$36:$N$37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'South America Scatter_Median'!$O$36:$O$37</c:f>
              <c:numCache>
                <c:formatCode>General</c:formatCode>
                <c:ptCount val="2"/>
                <c:pt idx="0">
                  <c:v>21</c:v>
                </c:pt>
                <c:pt idx="1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51C-4F1F-AE12-82A97D9FF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(MEDIAN)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EUROPE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321858414119948"/>
          <c:y val="1.825903737019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'Europe Scatter_Median'!$O$4:$O$5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F6-4E93-BDFC-8241006C7FAC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'Europe Scatter_Median'!$O$6:$O$7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F6-4E93-BDFC-8241006C7FAC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'Europe Scatter_Median'!$O$8:$O$9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F6-4E93-BDFC-8241006C7FAC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'Europe Scatter_Median'!$R$25:$R$32</c:f>
              <c:numCache>
                <c:formatCode>General</c:formatCode>
                <c:ptCount val="8"/>
              </c:numCache>
            </c:numRef>
          </c:xVal>
          <c:yVal>
            <c:numRef>
              <c:f>'Europe Scatter_Median'!$S$25:$S$32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F6-4E93-BDFC-8241006C7FAC}"/>
            </c:ext>
          </c:extLst>
        </c:ser>
        <c:ser>
          <c:idx val="5"/>
          <c:order val="4"/>
          <c:tx>
            <c:v>Drought Line</c:v>
          </c:tx>
          <c:spPr>
            <a:ln w="1905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Scatter_Median'!$N$10:$N$11</c:f>
              <c:numCache>
                <c:formatCode>General</c:formatCode>
                <c:ptCount val="2"/>
                <c:pt idx="0">
                  <c:v>5.6320000000000006</c:v>
                </c:pt>
                <c:pt idx="1">
                  <c:v>5.6320000000000006</c:v>
                </c:pt>
              </c:numCache>
            </c:numRef>
          </c:xVal>
          <c:yVal>
            <c:numRef>
              <c:f>'Europe Scatter_Median'!$O$10:$O$11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F6-4E93-BDFC-8241006C7FAC}"/>
            </c:ext>
          </c:extLst>
        </c:ser>
        <c:ser>
          <c:idx val="3"/>
          <c:order val="5"/>
          <c:tx>
            <c:strRef>
              <c:f>'Europe Scatter_Median'!$M$12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Scatter_Median'!$N$12:$N$13</c:f>
              <c:numCache>
                <c:formatCode>General</c:formatCode>
                <c:ptCount val="2"/>
                <c:pt idx="0">
                  <c:v>1.6</c:v>
                </c:pt>
                <c:pt idx="1">
                  <c:v>1.6</c:v>
                </c:pt>
              </c:numCache>
            </c:numRef>
          </c:xVal>
          <c:yVal>
            <c:numRef>
              <c:f>'Europe Scatter_Median'!$O$12:$O$13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F6-4E93-BDFC-8241006C7FAC}"/>
            </c:ext>
          </c:extLst>
        </c:ser>
        <c:ser>
          <c:idx val="16"/>
          <c:order val="6"/>
          <c:tx>
            <c:v>Extreme Temp</c:v>
          </c:tx>
          <c:spPr>
            <a:ln w="19050" cap="rnd">
              <a:solidFill>
                <a:srgbClr val="D2FA9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Scatter_Median'!$N$22:$N$23</c:f>
              <c:numCache>
                <c:formatCode>General</c:formatCode>
                <c:ptCount val="2"/>
                <c:pt idx="0">
                  <c:v>4.1160000000000005</c:v>
                </c:pt>
                <c:pt idx="1">
                  <c:v>4.1160000000000005</c:v>
                </c:pt>
              </c:numCache>
            </c:numRef>
          </c:xVal>
          <c:yVal>
            <c:numRef>
              <c:f>'Europe Scatter_Median'!$O$22:$O$23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6F6-4E93-BDFC-8241006C7FAC}"/>
            </c:ext>
          </c:extLst>
        </c:ser>
        <c:ser>
          <c:idx val="6"/>
          <c:order val="7"/>
          <c:tx>
            <c:strRef>
              <c:f>'Europe Scatter_Median'!$M$14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Scatter_Median'!$N$14:$N$15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'Europe Scatter_Median'!$O$14:$O$15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6F6-4E93-BDFC-8241006C7FAC}"/>
            </c:ext>
          </c:extLst>
        </c:ser>
        <c:ser>
          <c:idx val="7"/>
          <c:order val="8"/>
          <c:tx>
            <c:strRef>
              <c:f>'Europe Scatter_Median'!$M$16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Scatter_Median'!$N$16:$N$17</c:f>
              <c:numCache>
                <c:formatCode>General</c:formatCode>
                <c:ptCount val="2"/>
                <c:pt idx="0">
                  <c:v>5.4</c:v>
                </c:pt>
                <c:pt idx="1">
                  <c:v>5.4</c:v>
                </c:pt>
              </c:numCache>
            </c:numRef>
          </c:xVal>
          <c:yVal>
            <c:numRef>
              <c:f>'Europe Scatter_Median'!$O$16:$O$17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6F6-4E93-BDFC-8241006C7FAC}"/>
            </c:ext>
          </c:extLst>
        </c:ser>
        <c:ser>
          <c:idx val="8"/>
          <c:order val="9"/>
          <c:tx>
            <c:strRef>
              <c:f>'Europe Scatter_Median'!$M$18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Scatter_Median'!$N$18:$N$19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'Europe Scatter_Median'!$O$18:$O$19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6F6-4E93-BDFC-8241006C7FAC}"/>
            </c:ext>
          </c:extLst>
        </c:ser>
        <c:ser>
          <c:idx val="17"/>
          <c:order val="11"/>
          <c:tx>
            <c:strRef>
              <c:f>'Europe Scatter_Median'!$M$24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Scatter_Median'!$N$24:$N$25</c:f>
              <c:numCache>
                <c:formatCode>General</c:formatCode>
                <c:ptCount val="2"/>
                <c:pt idx="0">
                  <c:v>1.7760000000000002</c:v>
                </c:pt>
                <c:pt idx="1">
                  <c:v>1.7760000000000002</c:v>
                </c:pt>
              </c:numCache>
            </c:numRef>
          </c:xVal>
          <c:yVal>
            <c:numRef>
              <c:f>'Europe Scatter_Median'!$O$24:$O$25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6F6-4E93-BDFC-8241006C7FAC}"/>
            </c:ext>
          </c:extLst>
        </c:ser>
        <c:ser>
          <c:idx val="11"/>
          <c:order val="12"/>
          <c:tx>
            <c:strRef>
              <c:f>'Europe Scatter_Median'!$M$28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'Europe Scatter_Median'!$O$28:$O$29</c:f>
              <c:numCache>
                <c:formatCode>General</c:formatCode>
                <c:ptCount val="2"/>
                <c:pt idx="0">
                  <c:v>77.67</c:v>
                </c:pt>
                <c:pt idx="1">
                  <c:v>77.67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6F6-4E93-BDFC-8241006C7FAC}"/>
            </c:ext>
          </c:extLst>
        </c:ser>
        <c:ser>
          <c:idx val="10"/>
          <c:order val="13"/>
          <c:tx>
            <c:strRef>
              <c:f>'Europe Scatter_Median'!$M$26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'Europe Scatter_Median'!$O$26:$O$27</c:f>
              <c:numCache>
                <c:formatCode>General</c:formatCode>
                <c:ptCount val="2"/>
                <c:pt idx="0">
                  <c:v>23.8</c:v>
                </c:pt>
                <c:pt idx="1">
                  <c:v>23.8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6F6-4E93-BDFC-8241006C7FAC}"/>
            </c:ext>
          </c:extLst>
        </c:ser>
        <c:ser>
          <c:idx val="14"/>
          <c:order val="14"/>
          <c:tx>
            <c:strRef>
              <c:f>'Europe Scatter_Median'!$M$34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'Europe Scatter_Median'!$O$34:$O$35</c:f>
              <c:numCache>
                <c:formatCode>General</c:formatCode>
                <c:ptCount val="2"/>
                <c:pt idx="0">
                  <c:v>16.850000000000001</c:v>
                </c:pt>
                <c:pt idx="1">
                  <c:v>16.850000000000001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6F6-4E93-BDFC-8241006C7FAC}"/>
            </c:ext>
          </c:extLst>
        </c:ser>
        <c:ser>
          <c:idx val="12"/>
          <c:order val="15"/>
          <c:tx>
            <c:strRef>
              <c:f>'Europe Scatter_Median'!$M$30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'Europe Scatter_Median'!$O$30:$O$31</c:f>
              <c:numCache>
                <c:formatCode>General</c:formatCode>
                <c:ptCount val="2"/>
                <c:pt idx="0">
                  <c:v>18.149999999999999</c:v>
                </c:pt>
                <c:pt idx="1">
                  <c:v>18.149999999999999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6F6-4E93-BDFC-8241006C7FAC}"/>
            </c:ext>
          </c:extLst>
        </c:ser>
        <c:ser>
          <c:idx val="13"/>
          <c:order val="16"/>
          <c:tx>
            <c:strRef>
              <c:f>'Europe Scatter_Median'!$M$32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'Europe Scatter_Median'!$O$32:$O$33</c:f>
              <c:numCache>
                <c:formatCode>General</c:formatCode>
                <c:ptCount val="2"/>
                <c:pt idx="0">
                  <c:v>29</c:v>
                </c:pt>
                <c:pt idx="1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6F6-4E93-BDFC-8241006C7FAC}"/>
            </c:ext>
          </c:extLst>
        </c:ser>
        <c:ser>
          <c:idx val="15"/>
          <c:order val="17"/>
          <c:tx>
            <c:strRef>
              <c:f>'Europe Scatter_Median'!$M$36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'Europe Scatter_Median'!$N$36:$N$37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'Europe Scatter_Median'!$O$36:$O$37</c:f>
              <c:numCache>
                <c:formatCode>General</c:formatCode>
                <c:ptCount val="2"/>
                <c:pt idx="0">
                  <c:v>24.38</c:v>
                </c:pt>
                <c:pt idx="1">
                  <c:v>24.38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6F6-4E93-BDFC-8241006C7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10"/>
                <c:tx>
                  <c:strRef>
                    <c:extLst>
                      <c:ext uri="{02D57815-91ED-43cb-92C2-25804820EDAC}">
                        <c15:formulaRef>
                          <c15:sqref>'Europe Scatter_Median'!$M$20</c15:sqref>
                        </c15:formulaRef>
                      </c:ext>
                    </c:extLst>
                    <c:strCache>
                      <c:ptCount val="1"/>
                      <c:pt idx="0">
                        <c:v>Volcano Line</c:v>
                      </c:pt>
                    </c:strCache>
                  </c:strRef>
                </c:tx>
                <c:spPr>
                  <a:ln w="19050" cap="rnd">
                    <a:solidFill>
                      <a:srgbClr val="FFFF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'Europe Scatter_Median'!$N$20:$N$21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'Europe Scatter_Median'!$O$20:$O$21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9-46F6-4E93-BDFC-8241006C7FAC}"/>
                  </c:ext>
                </c:extLst>
              </c15:ser>
            </c15:filteredScatterSeries>
          </c:ext>
        </c:extLst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(MEDIAN)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ysClr val="windowText" lastClr="000000"/>
                </a:solidFill>
              </a:rPr>
              <a:t>MILITARY</a:t>
            </a:r>
            <a:r>
              <a:rPr lang="en-US" sz="2400" b="1" baseline="0">
                <a:solidFill>
                  <a:sysClr val="windowText" lastClr="000000"/>
                </a:solidFill>
              </a:rPr>
              <a:t> CAPACITY IN THE PACIFIC</a:t>
            </a:r>
            <a:endParaRPr lang="en-US" sz="24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321858414119948"/>
          <c:y val="1.825903737019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7407584691444E-2"/>
          <c:y val="7.911614683625616E-2"/>
          <c:w val="0.81987966233654197"/>
          <c:h val="0.7603778975287625"/>
        </c:manualLayout>
      </c:layout>
      <c:scatterChart>
        <c:scatterStyle val="lineMarker"/>
        <c:varyColors val="0"/>
        <c:ser>
          <c:idx val="0"/>
          <c:order val="0"/>
          <c:tx>
            <c:v>60%</c:v>
          </c:tx>
          <c:spPr>
            <a:ln w="12700" cap="rnd">
              <a:solidFill>
                <a:schemeClr val="accent1">
                  <a:shade val="1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Scatter_Median'!$N$4:$N$5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'Pacific Scatter_Median'!$O$4:$O$5</c:f>
              <c:numCache>
                <c:formatCode>General</c:formatCode>
                <c:ptCount val="2"/>
                <c:pt idx="0">
                  <c:v>60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9-4BDF-9617-43B9F6E7BE1C}"/>
            </c:ext>
          </c:extLst>
        </c:ser>
        <c:ser>
          <c:idx val="1"/>
          <c:order val="1"/>
          <c:tx>
            <c:v>80%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Scatter_Median'!$N$6:$N$7</c:f>
              <c:numCache>
                <c:formatCode>General</c:formatCode>
                <c:ptCount val="2"/>
                <c:pt idx="0">
                  <c:v>0</c:v>
                </c:pt>
                <c:pt idx="1">
                  <c:v>80</c:v>
                </c:pt>
              </c:numCache>
            </c:numRef>
          </c:xVal>
          <c:yVal>
            <c:numRef>
              <c:f>'Pacific Scatter_Median'!$O$6:$O$7</c:f>
              <c:numCache>
                <c:formatCode>General</c:formatCode>
                <c:ptCount val="2"/>
                <c:pt idx="0">
                  <c:v>80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9-4BDF-9617-43B9F6E7BE1C}"/>
            </c:ext>
          </c:extLst>
        </c:ser>
        <c:ser>
          <c:idx val="2"/>
          <c:order val="2"/>
          <c:tx>
            <c:v>100%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Scatter_Median'!$N$8:$N$9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'Pacific Scatter_Median'!$O$8:$O$9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39-4BDF-9617-43B9F6E7BE1C}"/>
            </c:ext>
          </c:extLst>
        </c:ser>
        <c:ser>
          <c:idx val="4"/>
          <c:order val="3"/>
          <c:tx>
            <c:v>Vulnerable Points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'Pacific Scatter_Median'!$R$25:$R$32</c:f>
              <c:numCache>
                <c:formatCode>General</c:formatCode>
                <c:ptCount val="8"/>
              </c:numCache>
            </c:numRef>
          </c:xVal>
          <c:yVal>
            <c:numRef>
              <c:f>'Pacific Scatter_Median'!$S$25:$S$32</c:f>
              <c:numCache>
                <c:formatCode>General</c:formatCode>
                <c:ptCount val="8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39-4BDF-9617-43B9F6E7BE1C}"/>
            </c:ext>
          </c:extLst>
        </c:ser>
        <c:ser>
          <c:idx val="5"/>
          <c:order val="4"/>
          <c:tx>
            <c:v>Drought Line</c:v>
          </c:tx>
          <c:spPr>
            <a:ln w="19050" cap="rnd">
              <a:solidFill>
                <a:srgbClr val="FC8C0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Scatter_Median'!$N$10:$N$11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'Pacific Scatter_Median'!$O$10:$O$11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39-4BDF-9617-43B9F6E7BE1C}"/>
            </c:ext>
          </c:extLst>
        </c:ser>
        <c:ser>
          <c:idx val="3"/>
          <c:order val="5"/>
          <c:tx>
            <c:strRef>
              <c:f>'Pacific Scatter_Median'!$M$12</c:f>
              <c:strCache>
                <c:ptCount val="1"/>
                <c:pt idx="0">
                  <c:v>Earthquake Line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Scatter_Median'!$N$12:$N$13</c:f>
              <c:numCache>
                <c:formatCode>General</c:formatCode>
                <c:ptCount val="2"/>
                <c:pt idx="0">
                  <c:v>16.400000000000002</c:v>
                </c:pt>
                <c:pt idx="1">
                  <c:v>16.400000000000002</c:v>
                </c:pt>
              </c:numCache>
            </c:numRef>
          </c:xVal>
          <c:yVal>
            <c:numRef>
              <c:f>'Pacific Scatter_Median'!$O$12:$O$13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39-4BDF-9617-43B9F6E7BE1C}"/>
            </c:ext>
          </c:extLst>
        </c:ser>
        <c:ser>
          <c:idx val="16"/>
          <c:order val="6"/>
          <c:tx>
            <c:v>Extreme Temp</c:v>
          </c:tx>
          <c:spPr>
            <a:ln w="38100" cap="rnd">
              <a:solidFill>
                <a:srgbClr val="D2FA9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Scatter_Median'!$N$22:$N$23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xVal>
          <c:yVal>
            <c:numRef>
              <c:f>'Pacific Scatter_Median'!$O$22:$O$23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39-4BDF-9617-43B9F6E7BE1C}"/>
            </c:ext>
          </c:extLst>
        </c:ser>
        <c:ser>
          <c:idx val="6"/>
          <c:order val="7"/>
          <c:tx>
            <c:strRef>
              <c:f>'Pacific Scatter_Median'!$M$14</c:f>
              <c:strCache>
                <c:ptCount val="1"/>
                <c:pt idx="0">
                  <c:v>Flood Line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Scatter_Median'!$N$14:$N$15</c:f>
              <c:numCache>
                <c:formatCode>General</c:formatCode>
                <c:ptCount val="2"/>
                <c:pt idx="0">
                  <c:v>1.2857142857142856</c:v>
                </c:pt>
                <c:pt idx="1">
                  <c:v>1.2857142857142856</c:v>
                </c:pt>
              </c:numCache>
            </c:numRef>
          </c:xVal>
          <c:yVal>
            <c:numRef>
              <c:f>'Pacific Scatter_Median'!$O$14:$O$15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739-4BDF-9617-43B9F6E7BE1C}"/>
            </c:ext>
          </c:extLst>
        </c:ser>
        <c:ser>
          <c:idx val="7"/>
          <c:order val="8"/>
          <c:tx>
            <c:strRef>
              <c:f>'Pacific Scatter_Median'!$M$16</c:f>
              <c:strCache>
                <c:ptCount val="1"/>
                <c:pt idx="0">
                  <c:v>Mass Movement Line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Scatter_Median'!$N$16:$N$17</c:f>
              <c:numCache>
                <c:formatCode>General</c:formatCode>
                <c:ptCount val="2"/>
                <c:pt idx="0">
                  <c:v>0.51428571428571423</c:v>
                </c:pt>
                <c:pt idx="1">
                  <c:v>0.51428571428571423</c:v>
                </c:pt>
              </c:numCache>
            </c:numRef>
          </c:xVal>
          <c:yVal>
            <c:numRef>
              <c:f>'Pacific Scatter_Median'!$O$16:$O$17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739-4BDF-9617-43B9F6E7BE1C}"/>
            </c:ext>
          </c:extLst>
        </c:ser>
        <c:ser>
          <c:idx val="8"/>
          <c:order val="9"/>
          <c:tx>
            <c:strRef>
              <c:f>'Pacific Scatter_Median'!$M$18</c:f>
              <c:strCache>
                <c:ptCount val="1"/>
                <c:pt idx="0">
                  <c:v>Storm Line</c:v>
                </c:pt>
              </c:strCache>
            </c:strRef>
          </c:tx>
          <c:spPr>
            <a:ln w="1905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Scatter_Median'!$N$18:$N$19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'Pacific Scatter_Median'!$O$18:$O$19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739-4BDF-9617-43B9F6E7BE1C}"/>
            </c:ext>
          </c:extLst>
        </c:ser>
        <c:ser>
          <c:idx val="17"/>
          <c:order val="11"/>
          <c:tx>
            <c:strRef>
              <c:f>'Pacific Scatter_Median'!$M$24</c:f>
              <c:strCache>
                <c:ptCount val="1"/>
                <c:pt idx="0">
                  <c:v>Wildfire Line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Scatter_Median'!$N$24:$N$25</c:f>
              <c:numCache>
                <c:formatCode>General</c:formatCode>
                <c:ptCount val="2"/>
                <c:pt idx="0">
                  <c:v>2.8571428571428572</c:v>
                </c:pt>
                <c:pt idx="1">
                  <c:v>2.8571428571428572</c:v>
                </c:pt>
              </c:numCache>
            </c:numRef>
          </c:xVal>
          <c:yVal>
            <c:numRef>
              <c:f>'Pacific Scatter_Median'!$O$24:$O$25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739-4BDF-9617-43B9F6E7BE1C}"/>
            </c:ext>
          </c:extLst>
        </c:ser>
        <c:ser>
          <c:idx val="11"/>
          <c:order val="12"/>
          <c:tx>
            <c:strRef>
              <c:f>'Pacific Scatter_Median'!$M$28</c:f>
              <c:strCache>
                <c:ptCount val="1"/>
                <c:pt idx="0">
                  <c:v>War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  <a:headEnd type="arrow" w="lg" len="lg"/>
              <a:tailEnd type="arrow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Scatter_Median'!$N$28:$N$29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'Pacific Scatter_Median'!$O$28:$O$29</c:f>
              <c:numCache>
                <c:formatCode>General</c:formatCode>
                <c:ptCount val="2"/>
                <c:pt idx="0">
                  <c:v>42.67</c:v>
                </c:pt>
                <c:pt idx="1">
                  <c:v>42.67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739-4BDF-9617-43B9F6E7BE1C}"/>
            </c:ext>
          </c:extLst>
        </c:ser>
        <c:ser>
          <c:idx val="10"/>
          <c:order val="13"/>
          <c:tx>
            <c:strRef>
              <c:f>'Pacific Scatter_Median'!$M$26</c:f>
              <c:strCache>
                <c:ptCount val="1"/>
                <c:pt idx="0">
                  <c:v>Int. Terrorism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  <a:headEnd type="arrow"/>
              <a:tailEnd type="arrow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Scatter_Median'!$N$26:$N$27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'Pacific Scatter_Median'!$O$26:$O$27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739-4BDF-9617-43B9F6E7BE1C}"/>
            </c:ext>
          </c:extLst>
        </c:ser>
        <c:ser>
          <c:idx val="14"/>
          <c:order val="14"/>
          <c:tx>
            <c:strRef>
              <c:f>'Pacific Scatter_Median'!$M$34</c:f>
              <c:strCache>
                <c:ptCount val="1"/>
                <c:pt idx="0">
                  <c:v>Domestic Terrorism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  <a:headEnd type="oval" w="lg" len="med"/>
              <a:tailEnd type="oval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Scatter_Median'!$N$34:$N$35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'Pacific Scatter_Median'!$O$34:$O$35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739-4BDF-9617-43B9F6E7BE1C}"/>
            </c:ext>
          </c:extLst>
        </c:ser>
        <c:ser>
          <c:idx val="12"/>
          <c:order val="15"/>
          <c:tx>
            <c:strRef>
              <c:f>'Pacific Scatter_Median'!$M$30</c:f>
              <c:strCache>
                <c:ptCount val="1"/>
                <c:pt idx="0">
                  <c:v>Combating Drugs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  <a:headEnd type="diamond" w="lg" len="med"/>
              <a:tailEnd type="diamond" w="lg" len="med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Scatter_Median'!$N$30:$N$31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'Pacific Scatter_Median'!$O$30:$O$31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739-4BDF-9617-43B9F6E7BE1C}"/>
            </c:ext>
          </c:extLst>
        </c:ser>
        <c:ser>
          <c:idx val="13"/>
          <c:order val="16"/>
          <c:tx>
            <c:strRef>
              <c:f>'Pacific Scatter_Median'!$M$32</c:f>
              <c:strCache>
                <c:ptCount val="1"/>
                <c:pt idx="0">
                  <c:v>Resource Scarcities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  <a:headEnd type="triangle" w="lg" len="sm"/>
              <a:tailEnd type="triangle" w="lg" len="sm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Scatter_Median'!$N$32:$N$33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'Pacific Scatter_Median'!$O$32:$O$33</c:f>
              <c:numCache>
                <c:formatCode>General</c:formatCode>
                <c:ptCount val="2"/>
                <c:pt idx="0">
                  <c:v>51.67</c:v>
                </c:pt>
                <c:pt idx="1">
                  <c:v>51.67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739-4BDF-9617-43B9F6E7BE1C}"/>
            </c:ext>
          </c:extLst>
        </c:ser>
        <c:ser>
          <c:idx val="15"/>
          <c:order val="17"/>
          <c:tx>
            <c:strRef>
              <c:f>'Pacific Scatter_Median'!$M$36</c:f>
              <c:strCache>
                <c:ptCount val="1"/>
                <c:pt idx="0">
                  <c:v>Civil Unrest/Violence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  <a:headEnd type="triangle" w="med" len="lg"/>
              <a:tailEnd type="triangle" w="med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'Pacific Scatter_Median'!$N$36:$N$37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'Pacific Scatter_Median'!$O$36:$O$37</c:f>
              <c:numCache>
                <c:formatCode>General</c:formatCode>
                <c:ptCount val="2"/>
                <c:pt idx="0">
                  <c:v>6.67</c:v>
                </c:pt>
                <c:pt idx="1">
                  <c:v>6.67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739-4BDF-9617-43B9F6E7B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544336"/>
        <c:axId val="2105546256"/>
        <c:extLst>
          <c:ext xmlns:c15="http://schemas.microsoft.com/office/drawing/2012/chart" uri="{02D57815-91ED-43cb-92C2-25804820EDAC}">
            <c15:filteredScatterSeries>
              <c15:ser>
                <c:idx val="9"/>
                <c:order val="10"/>
                <c:tx>
                  <c:strRef>
                    <c:extLst>
                      <c:ext uri="{02D57815-91ED-43cb-92C2-25804820EDAC}">
                        <c15:formulaRef>
                          <c15:sqref>'Pacific Scatter_Median'!$M$20</c15:sqref>
                        </c15:formulaRef>
                      </c:ext>
                    </c:extLst>
                    <c:strCache>
                      <c:ptCount val="1"/>
                      <c:pt idx="0">
                        <c:v>Volcano Line</c:v>
                      </c:pt>
                    </c:strCache>
                  </c:strRef>
                </c:tx>
                <c:spPr>
                  <a:ln w="19050" cap="rnd">
                    <a:solidFill>
                      <a:srgbClr val="FFFF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'Pacific Scatter_Median'!$N$20:$N$21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8.5714285714285715E-2</c:v>
                      </c:pt>
                      <c:pt idx="1">
                        <c:v>8.5714285714285715E-2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'Pacific Scatter_Median'!$O$20:$O$21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</c:v>
                      </c:pt>
                      <c:pt idx="1">
                        <c:v>100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1-D739-4BDF-9617-43B9F6E7BE1C}"/>
                  </c:ext>
                </c:extLst>
              </c15:ser>
            </c15:filteredScatterSeries>
          </c:ext>
        </c:extLst>
      </c:scatterChart>
      <c:valAx>
        <c:axId val="2105544336"/>
        <c:scaling>
          <c:orientation val="minMax"/>
          <c:max val="10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NATURAL DISASTER RELIEF REQUIREMENT (MEDIAN)</a:t>
                </a:r>
              </a:p>
            </c:rich>
          </c:tx>
          <c:layout>
            <c:manualLayout>
              <c:xMode val="edge"/>
              <c:yMode val="edge"/>
              <c:x val="0.27758534574203891"/>
              <c:y val="0.885855793945321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6256"/>
        <c:crosses val="autoZero"/>
        <c:crossBetween val="midCat"/>
        <c:majorUnit val="10"/>
      </c:valAx>
      <c:valAx>
        <c:axId val="2105546256"/>
        <c:scaling>
          <c:orientation val="minMax"/>
          <c:max val="1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  <a:alpha val="98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NATIONAL</a:t>
                </a:r>
                <a:r>
                  <a:rPr lang="en-US" sz="1100" b="1" baseline="0"/>
                  <a:t> SECURITY THREAT REQUIREMENT (AVERAGE)</a:t>
                </a:r>
                <a:endParaRPr lang="en-US" sz="1100" b="1"/>
              </a:p>
            </c:rich>
          </c:tx>
          <c:layout>
            <c:manualLayout>
              <c:xMode val="edge"/>
              <c:yMode val="edge"/>
              <c:x val="5.5331333756717272E-3"/>
              <c:y val="0.247188972145181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t" anchorCtr="0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44336"/>
        <c:crosses val="autoZero"/>
        <c:crossBetween val="midCat"/>
      </c:valAx>
      <c:spPr>
        <a:blipFill dpi="0" rotWithShape="1">
          <a:blip xmlns:r="http://schemas.openxmlformats.org/officeDocument/2006/relationships" r:embed="rId3"/>
          <a:srcRect/>
          <a:stretch>
            <a:fillRect/>
          </a:stretch>
        </a:blipFill>
        <a:ln w="127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2.5983534869439755E-3"/>
          <c:y val="0.91486048755629679"/>
          <c:w val="0.99216312024713671"/>
          <c:h val="8.513957589362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254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In your opinion, how much of your country's military should be mobilized to defend against civil unrest or domestic armed conflict?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10'!$B$3</c:f>
              <c:strCache>
                <c:ptCount val="1"/>
                <c:pt idx="0">
                  <c:v>Average Number</c:v>
                </c:pt>
              </c:strCache>
            </c:strRef>
          </c:tx>
          <c:spPr>
            <a:solidFill>
              <a:srgbClr val="00BF6F"/>
            </a:solidFill>
            <a:ln>
              <a:prstDash val="solid"/>
            </a:ln>
          </c:spPr>
          <c:invertIfNegative val="0"/>
          <c:cat>
            <c:strRef>
              <c:f>'Question 10'!$A$4</c:f>
              <c:strCache>
                <c:ptCount val="1"/>
                <c:pt idx="0">
                  <c:v>(no label)</c:v>
                </c:pt>
              </c:strCache>
            </c:strRef>
          </c:cat>
          <c:val>
            <c:numRef>
              <c:f>'Question 10'!$B$4</c:f>
              <c:numCache>
                <c:formatCode>General</c:formatCode>
                <c:ptCount val="1"/>
                <c:pt idx="0">
                  <c:v>19.826666666666672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3-47E2-A8DB-781258D8E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</c:plotArea>
    <c:legend>
      <c:legendPos val="r"/>
      <c:overlay val="0"/>
    </c:legend>
    <c:plotVisOnly val="0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302016-77A8-44E5-8AB0-CF6D9001A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364480" cy="42062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379720" cy="4198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1775D-24E3-4ED4-B752-4B7541CC0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372100" cy="42214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7C004-2740-4D60-93B3-B5E67E47C7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356860" cy="4198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5BAFF-3B2C-406F-A044-5BFB727DB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356860" cy="4198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202E1-8A71-440C-B254-C4A5C7BF9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356860" cy="4198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515E4-46E1-420C-A1DD-60D7B00A3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972FB6-6AA4-4E83-A511-EA8FCB83D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68580</xdr:rowOff>
    </xdr:from>
    <xdr:to>
      <xdr:col>11</xdr:col>
      <xdr:colOff>598714</xdr:colOff>
      <xdr:row>49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C2851-29E3-4B20-A79C-55B0CC9C1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540E7-00E5-41AB-BB2D-EC85A9223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68580</xdr:rowOff>
    </xdr:from>
    <xdr:to>
      <xdr:col>11</xdr:col>
      <xdr:colOff>598714</xdr:colOff>
      <xdr:row>49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F8B66-B17A-CA6C-55EB-2674D40F6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ACA16-5CB4-4615-A69F-A4E509482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6C3B64-CE35-4397-B768-27EC5EB78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276C19-727F-4B6C-9C1F-32388C630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BFF9E-FD1B-4B3E-B969-4B206D9BC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BD76D-0B49-41F0-A6D1-AD6ED4786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106679</xdr:colOff>
      <xdr:row>1</xdr:row>
      <xdr:rowOff>68579</xdr:rowOff>
    </xdr:from>
    <xdr:to>
      <xdr:col>11</xdr:col>
      <xdr:colOff>598714</xdr:colOff>
      <xdr:row>51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6E052-8AFA-4350-855E-230A35231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274320</xdr:colOff>
      <xdr:row>2</xdr:row>
      <xdr:rowOff>45720</xdr:rowOff>
    </xdr:from>
    <xdr:to>
      <xdr:col>7</xdr:col>
      <xdr:colOff>579120</xdr:colOff>
      <xdr:row>27</xdr:row>
      <xdr:rowOff>45720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9793817-B780-1D07-FCC4-FDF593B16125}"/>
            </a:ext>
          </a:extLst>
        </xdr:cNvPr>
        <xdr:cNvSpPr/>
      </xdr:nvSpPr>
      <xdr:spPr>
        <a:xfrm>
          <a:off x="2834640" y="350520"/>
          <a:ext cx="3962400" cy="3962400"/>
        </a:xfrm>
        <a:prstGeom prst="rect">
          <a:avLst/>
        </a:prstGeom>
        <a:gradFill flip="none" rotWithShape="1">
          <a:gsLst>
            <a:gs pos="50000">
              <a:schemeClr val="bg1"/>
            </a:gs>
            <a:gs pos="50000">
              <a:srgbClr val="FC8C04"/>
            </a:gs>
            <a:gs pos="50000">
              <a:srgbClr val="FF0000"/>
            </a:gs>
            <a:gs pos="100000">
              <a:schemeClr val="accent2">
                <a:lumMod val="50000"/>
              </a:schemeClr>
            </a:gs>
          </a:gsLst>
          <a:lin ang="189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</xdr:row>
      <xdr:rowOff>0</xdr:rowOff>
    </xdr:from>
    <xdr:to>
      <xdr:col>14</xdr:col>
      <xdr:colOff>502920</xdr:colOff>
      <xdr:row>27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9F05290-EDAF-4D8F-94DB-AE472B0D6396}"/>
            </a:ext>
          </a:extLst>
        </xdr:cNvPr>
        <xdr:cNvSpPr/>
      </xdr:nvSpPr>
      <xdr:spPr>
        <a:xfrm>
          <a:off x="5486400" y="304800"/>
          <a:ext cx="3962400" cy="3962400"/>
        </a:xfrm>
        <a:prstGeom prst="rect">
          <a:avLst/>
        </a:prstGeom>
        <a:gradFill flip="none" rotWithShape="1">
          <a:gsLst>
            <a:gs pos="0">
              <a:srgbClr val="00B050"/>
            </a:gs>
            <a:gs pos="30000">
              <a:srgbClr val="FFFF00"/>
            </a:gs>
            <a:gs pos="50000">
              <a:srgbClr val="FC8C04"/>
            </a:gs>
            <a:gs pos="50000">
              <a:srgbClr val="FF0000"/>
            </a:gs>
            <a:gs pos="100000">
              <a:schemeClr val="accent2">
                <a:lumMod val="50000"/>
              </a:schemeClr>
            </a:gs>
          </a:gsLst>
          <a:lin ang="189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7</xdr:col>
      <xdr:colOff>304800</xdr:colOff>
      <xdr:row>50</xdr:row>
      <xdr:rowOff>121920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184086-EA32-42D7-A96C-9C544BD0C039}"/>
            </a:ext>
          </a:extLst>
        </xdr:cNvPr>
        <xdr:cNvSpPr/>
      </xdr:nvSpPr>
      <xdr:spPr>
        <a:xfrm>
          <a:off x="609600" y="4632960"/>
          <a:ext cx="3962400" cy="3962400"/>
        </a:xfrm>
        <a:prstGeom prst="rect">
          <a:avLst/>
        </a:prstGeom>
        <a:gradFill flip="none" rotWithShape="1">
          <a:gsLst>
            <a:gs pos="0">
              <a:schemeClr val="bg1"/>
            </a:gs>
            <a:gs pos="30000">
              <a:schemeClr val="bg1"/>
            </a:gs>
            <a:gs pos="50000">
              <a:srgbClr val="FC8C04"/>
            </a:gs>
            <a:gs pos="50000">
              <a:srgbClr val="FF0000"/>
            </a:gs>
            <a:gs pos="100000">
              <a:schemeClr val="accent2">
                <a:lumMod val="50000"/>
              </a:schemeClr>
            </a:gs>
          </a:gsLst>
          <a:lin ang="189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9307BE-E821-4432-A4FA-F53375D91FCD}" name="Table3529" displayName="Table3529" ref="M3:O37" totalsRowShown="0" headerRowDxfId="110" dataDxfId="109">
  <autoFilter ref="M3:O37" xr:uid="{330F6A03-D8B2-44C1-B219-D8347382C365}"/>
  <tableColumns count="3">
    <tableColumn id="1" xr3:uid="{465F62EB-E47B-405A-B862-A6B144D80D63}" name="Threshold" dataDxfId="108"/>
    <tableColumn id="2" xr3:uid="{CBE02372-BF36-461C-BDA8-DDCE0B56E552}" name="X" dataDxfId="107"/>
    <tableColumn id="3" xr3:uid="{0DF62D22-3035-40B4-A4FC-4D53AED8D078}" name="Y" dataDxfId="10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B5DEE8-D3B8-4D50-AC41-A669DDCDF50B}" name="Table5310" displayName="Table5310" ref="Q4:W12" totalsRowShown="0">
  <autoFilter ref="Q4:W12" xr:uid="{F6F1116C-53A6-4B79-BCD9-AFC3A985D3E9}"/>
  <tableColumns count="7">
    <tableColumn id="1" xr3:uid="{2B6E88E6-E4BE-4C95-A6C1-4E4661AB7DFD}" name="Disaster"/>
    <tableColumn id="2" xr3:uid="{E842B738-BF97-4B86-B3FC-B313414F1D29}" name="International Terrorist" dataDxfId="105">
      <calculatedColumnFormula>$R$3+P5</calculatedColumnFormula>
    </tableColumn>
    <tableColumn id="3" xr3:uid="{E2B043FF-03A8-46C5-8198-ABD42D6DF408}" name="War" dataDxfId="104">
      <calculatedColumnFormula>$S$3+P5</calculatedColumnFormula>
    </tableColumn>
    <tableColumn id="4" xr3:uid="{8D7E029E-7F33-487E-87D0-ED90F04A09A2}" name="Drugs" dataDxfId="103">
      <calculatedColumnFormula>$T$3+P5</calculatedColumnFormula>
    </tableColumn>
    <tableColumn id="7" xr3:uid="{7F6815F2-6B59-4EEB-B02B-CAA0751DB299}" name="Resource Scarcities" dataDxfId="102">
      <calculatedColumnFormula>$U$3+P5</calculatedColumnFormula>
    </tableColumn>
    <tableColumn id="5" xr3:uid="{91B99ABB-36AF-4474-B137-589FC6A3F2FD}" name="Domestic Terrorism" dataDxfId="101">
      <calculatedColumnFormula>$V$3+P5</calculatedColumnFormula>
    </tableColumn>
    <tableColumn id="6" xr3:uid="{5E47DAE3-2646-4496-9991-62542C3F66A9}" name="Civil Unrest" dataDxfId="100">
      <calculatedColumnFormula>$W$3+P5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63E60E1-54FA-4E83-8049-0E945FC98764}" name="Table3511" displayName="Table3511" ref="M3:O33" totalsRowShown="0" headerRowDxfId="99" dataDxfId="98">
  <autoFilter ref="M3:O33" xr:uid="{330F6A03-D8B2-44C1-B219-D8347382C365}"/>
  <tableColumns count="3">
    <tableColumn id="1" xr3:uid="{6C8754BD-4AB9-4798-AB8B-E59490D67EDF}" name="Threshold" dataDxfId="97"/>
    <tableColumn id="2" xr3:uid="{57B42499-A772-437A-92E4-AC179C35C2A7}" name="X" dataDxfId="96"/>
    <tableColumn id="3" xr3:uid="{723BC875-B42C-4A37-9441-C6E8EC738B8C}" name="Y" dataDxfId="9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CE66CB-49AC-401E-B581-867E61A3CB7E}" name="Table512" displayName="Table512" ref="Q4:W12" totalsRowShown="0">
  <autoFilter ref="Q4:W12" xr:uid="{F6F1116C-53A6-4B79-BCD9-AFC3A985D3E9}"/>
  <tableColumns count="7">
    <tableColumn id="1" xr3:uid="{A38F6A9B-942E-4890-ADA0-440B1B962908}" name="Disaster"/>
    <tableColumn id="2" xr3:uid="{3FF729AE-645A-43B4-970B-E53CC7ACAE5D}" name="International Terrorist" dataDxfId="94">
      <calculatedColumnFormula>$R$3+P5</calculatedColumnFormula>
    </tableColumn>
    <tableColumn id="3" xr3:uid="{5C1E4255-EF49-40C2-B14A-40FB548D612C}" name="War" dataDxfId="93">
      <calculatedColumnFormula>$S$3+P5</calculatedColumnFormula>
    </tableColumn>
    <tableColumn id="4" xr3:uid="{72C63412-3DC6-47DC-B6F4-9F3175C28C5C}" name="Drugs" dataDxfId="92">
      <calculatedColumnFormula>$T$3+P5</calculatedColumnFormula>
    </tableColumn>
    <tableColumn id="7" xr3:uid="{F58ED734-A09D-4E62-9F9B-BF4D841C2306}" name="Resource Scarcities" dataDxfId="91">
      <calculatedColumnFormula>$U$3+P5</calculatedColumnFormula>
    </tableColumn>
    <tableColumn id="5" xr3:uid="{1E61C075-3F01-467F-BFCD-C76701CA0EBC}" name="Domestic Terrorism" dataDxfId="90">
      <calculatedColumnFormula>$V$3+P5</calculatedColumnFormula>
    </tableColumn>
    <tableColumn id="6" xr3:uid="{8EFE843A-1E94-458F-80EB-D30DC744D301}" name="Civil Unrest" dataDxfId="89">
      <calculatedColumnFormula>$W$3+P5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900DC7-5793-4FE0-B5B4-3B5729422AA4}" name="Table35297" displayName="Table35297" ref="M3:O37" totalsRowShown="0" headerRowDxfId="88" dataDxfId="87">
  <autoFilter ref="M3:O37" xr:uid="{330F6A03-D8B2-44C1-B219-D8347382C365}"/>
  <tableColumns count="3">
    <tableColumn id="1" xr3:uid="{7E57563D-2EC6-4757-804D-4BDB891F9921}" name="Threshold" dataDxfId="86"/>
    <tableColumn id="2" xr3:uid="{A018B781-B30A-491F-9D77-D0B47AC9F71A}" name="X" dataDxfId="85"/>
    <tableColumn id="3" xr3:uid="{ED833E9B-0DB3-4F50-835A-89C29259A5F5}" name="Y" dataDxfId="8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51F76B-5D71-4C1E-9EDD-09F938AA653C}" name="Table53108" displayName="Table53108" ref="Q4:W12" totalsRowShown="0">
  <autoFilter ref="Q4:W12" xr:uid="{F6F1116C-53A6-4B79-BCD9-AFC3A985D3E9}"/>
  <tableColumns count="7">
    <tableColumn id="1" xr3:uid="{8259DEF9-AD51-426F-B5C8-C3F8E10740F5}" name="Disaster"/>
    <tableColumn id="2" xr3:uid="{AE8A0AE1-0FE8-4B4F-8A4C-FB2F10E4C91B}" name="International Terrorist" dataDxfId="83">
      <calculatedColumnFormula>$R$3+P5</calculatedColumnFormula>
    </tableColumn>
    <tableColumn id="3" xr3:uid="{4A5675E8-D03C-457B-8C4A-2DA384D88EF5}" name="War" dataDxfId="82">
      <calculatedColumnFormula>$S$3+P5</calculatedColumnFormula>
    </tableColumn>
    <tableColumn id="4" xr3:uid="{E411EDFF-C7AA-4980-A29D-C2A249BC01F8}" name="Drugs" dataDxfId="81">
      <calculatedColumnFormula>$T$3+P5</calculatedColumnFormula>
    </tableColumn>
    <tableColumn id="7" xr3:uid="{13C94E95-4E78-446A-A959-C451976A33DB}" name="Resource Scarcities" dataDxfId="80">
      <calculatedColumnFormula>$U$3+P5</calculatedColumnFormula>
    </tableColumn>
    <tableColumn id="5" xr3:uid="{DB673FCD-F0AE-4BAE-A607-D7F6F8F32137}" name="Domestic Terrorism" dataDxfId="79">
      <calculatedColumnFormula>$V$3+P5</calculatedColumnFormula>
    </tableColumn>
    <tableColumn id="6" xr3:uid="{175E39B8-A547-47C1-966A-D7CBA100148F}" name="Civil Unrest" dataDxfId="78">
      <calculatedColumnFormula>$W$3+P5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0F6A03-D8B2-44C1-B219-D8347382C365}" name="Table35" displayName="Table35" ref="M3:O33" totalsRowShown="0" headerRowDxfId="77" dataDxfId="76">
  <autoFilter ref="M3:O33" xr:uid="{330F6A03-D8B2-44C1-B219-D8347382C365}"/>
  <tableColumns count="3">
    <tableColumn id="1" xr3:uid="{205F4E0D-ACA4-4385-9231-8820034AA527}" name="Threshold" dataDxfId="75"/>
    <tableColumn id="2" xr3:uid="{F58F15D5-161A-4506-8DED-F2B509052A41}" name="X" dataDxfId="74"/>
    <tableColumn id="3" xr3:uid="{2AE02F19-EFFC-475A-A747-8BA0912CDC47}" name="Y" dataDxfId="7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F1116C-53A6-4B79-BCD9-AFC3A985D3E9}" name="Table5" displayName="Table5" ref="Q4:W12" totalsRowShown="0">
  <autoFilter ref="Q4:W12" xr:uid="{F6F1116C-53A6-4B79-BCD9-AFC3A985D3E9}"/>
  <tableColumns count="7">
    <tableColumn id="1" xr3:uid="{6C0EFD3F-C73B-43EE-A65E-E72BE207E68B}" name="Disaster"/>
    <tableColumn id="2" xr3:uid="{B3EB27A7-EC4B-488C-9801-15C16F9CB5D9}" name="International Terrorist" dataDxfId="72">
      <calculatedColumnFormula>$R$3+P5</calculatedColumnFormula>
    </tableColumn>
    <tableColumn id="3" xr3:uid="{ED512795-6D08-4B6A-B179-ED0549662F1B}" name="War" dataDxfId="71">
      <calculatedColumnFormula>$S$3+P5</calculatedColumnFormula>
    </tableColumn>
    <tableColumn id="4" xr3:uid="{66AE57C6-4DB9-4CAD-80C9-9DC4C7CC9EC9}" name="Drugs" dataDxfId="70">
      <calculatedColumnFormula>$T$3+P5</calculatedColumnFormula>
    </tableColumn>
    <tableColumn id="7" xr3:uid="{FBD1FFE8-A2E4-4699-A0EB-3191C6CC96D8}" name="Resource Scarcities" dataDxfId="69">
      <calculatedColumnFormula>$U$3+P5</calculatedColumnFormula>
    </tableColumn>
    <tableColumn id="5" xr3:uid="{3EBB1716-1879-4DB0-A784-1D0C12AB436C}" name="Domestic Terrorism" dataDxfId="68">
      <calculatedColumnFormula>$V$3+P5</calculatedColumnFormula>
    </tableColumn>
    <tableColumn id="6" xr3:uid="{66F485CC-8C1A-4F1A-BE55-CC862BD16951}" name="Civil Unrest" dataDxfId="67">
      <calculatedColumnFormula>$W$3+P5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817685-2F4A-443F-B028-288A68A50EB6}" name="Table352" displayName="Table352" ref="M3:O37" totalsRowShown="0" headerRowDxfId="66" dataDxfId="65">
  <autoFilter ref="M3:O37" xr:uid="{330F6A03-D8B2-44C1-B219-D8347382C365}"/>
  <tableColumns count="3">
    <tableColumn id="1" xr3:uid="{3CE2574A-E417-470C-938A-BAD442B7DBC1}" name="Threshold" dataDxfId="64"/>
    <tableColumn id="2" xr3:uid="{032BA86D-2B4E-49B7-BCF0-1568819AF89C}" name="X" dataDxfId="63"/>
    <tableColumn id="3" xr3:uid="{0D08893F-B500-475F-AF34-01E8F4EB1BBF}" name="Y" dataDxfId="6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64E73C-4B20-45CF-B16E-7808759F517B}" name="Table53" displayName="Table53" ref="Q4:W12" totalsRowShown="0">
  <autoFilter ref="Q4:W12" xr:uid="{F6F1116C-53A6-4B79-BCD9-AFC3A985D3E9}"/>
  <tableColumns count="7">
    <tableColumn id="1" xr3:uid="{A062D6BA-4ECA-49B9-9633-F77F78AB7343}" name="Disaster"/>
    <tableColumn id="2" xr3:uid="{3A293AB2-9FAC-4565-85D6-0E4078BC0A45}" name="International Terrorist" dataDxfId="61">
      <calculatedColumnFormula>$R$3+P5</calculatedColumnFormula>
    </tableColumn>
    <tableColumn id="3" xr3:uid="{5184D083-B3ED-42C1-B4E7-8C59C6BF0877}" name="War" dataDxfId="60">
      <calculatedColumnFormula>$S$3+P5</calculatedColumnFormula>
    </tableColumn>
    <tableColumn id="4" xr3:uid="{653AD740-B823-4C33-A428-6761BF463981}" name="Drugs" dataDxfId="59">
      <calculatedColumnFormula>$T$3+P5</calculatedColumnFormula>
    </tableColumn>
    <tableColumn id="7" xr3:uid="{1A75909D-A767-451D-BFDF-822985304F07}" name="Resource Scarcities" dataDxfId="58">
      <calculatedColumnFormula>$U$3+P5</calculatedColumnFormula>
    </tableColumn>
    <tableColumn id="5" xr3:uid="{90E07DFC-0691-4EE8-99C7-9375DFF257B2}" name="Domestic Terrorism" dataDxfId="57">
      <calculatedColumnFormula>$V$3+P5</calculatedColumnFormula>
    </tableColumn>
    <tableColumn id="6" xr3:uid="{389B44A0-6225-472F-B4D2-DBF66448B99B}" name="Civil Unrest" dataDxfId="56">
      <calculatedColumnFormula>$W$3+P5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D02DCE9-1D20-4C0D-9347-344DDEA896CA}" name="Table35213" displayName="Table35213" ref="M3:O37" totalsRowShown="0" headerRowDxfId="55" dataDxfId="54">
  <autoFilter ref="M3:O37" xr:uid="{330F6A03-D8B2-44C1-B219-D8347382C365}"/>
  <tableColumns count="3">
    <tableColumn id="1" xr3:uid="{0969BB3B-C411-4972-AA68-D254BBBEBA6A}" name="Threshold" dataDxfId="53"/>
    <tableColumn id="2" xr3:uid="{9450576A-A111-40B7-9371-D7BB3C5F1C6D}" name="X" dataDxfId="52"/>
    <tableColumn id="3" xr3:uid="{F985FA44-67C8-4834-9F10-3978CC68AC62}" name="Y" dataDxfId="51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2656A5D-057D-4AB8-B346-06A86CD21F28}" name="Table5314" displayName="Table5314" ref="Q4:W12" totalsRowShown="0">
  <autoFilter ref="Q4:W12" xr:uid="{F6F1116C-53A6-4B79-BCD9-AFC3A985D3E9}"/>
  <tableColumns count="7">
    <tableColumn id="1" xr3:uid="{6BD47ED9-05EC-4F81-AE60-C740BE0BB13C}" name="Disaster"/>
    <tableColumn id="2" xr3:uid="{D915F744-908F-4E2C-8259-C4DF443A8A19}" name="International Terrorist" dataDxfId="50">
      <calculatedColumnFormula>$R$3+P5</calculatedColumnFormula>
    </tableColumn>
    <tableColumn id="3" xr3:uid="{02C97368-2BD7-4764-85DA-89211B3C8C36}" name="War" dataDxfId="49">
      <calculatedColumnFormula>$S$3+P5</calculatedColumnFormula>
    </tableColumn>
    <tableColumn id="4" xr3:uid="{0019A3A2-7C64-4EB4-8FAB-FB4292C74527}" name="Drugs" dataDxfId="48">
      <calculatedColumnFormula>$T$3+P5</calculatedColumnFormula>
    </tableColumn>
    <tableColumn id="7" xr3:uid="{D8B3305B-A9B0-498A-B663-A46E5D56892B}" name="Resource Scarcities" dataDxfId="47">
      <calculatedColumnFormula>$U$3+P5</calculatedColumnFormula>
    </tableColumn>
    <tableColumn id="5" xr3:uid="{E4893A9A-CCF4-4CFC-9705-CF8531EEF15C}" name="Domestic Terrorism" dataDxfId="46">
      <calculatedColumnFormula>$V$3+P5</calculatedColumnFormula>
    </tableColumn>
    <tableColumn id="6" xr3:uid="{67886BB7-0F14-496E-8870-8C587BDE666F}" name="Civil Unrest" dataDxfId="45">
      <calculatedColumnFormula>$W$3+P5</calculatedColumnFormula>
    </tableColumn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DBB5323-217F-487E-B29C-7790F47B93AD}" name="Table3521315" displayName="Table3521315" ref="M3:O37" totalsRowShown="0" headerRowDxfId="44" dataDxfId="43">
  <autoFilter ref="M3:O37" xr:uid="{330F6A03-D8B2-44C1-B219-D8347382C365}"/>
  <tableColumns count="3">
    <tableColumn id="1" xr3:uid="{A1AC95BF-DF17-451F-B186-29276859BF21}" name="Threshold" dataDxfId="42"/>
    <tableColumn id="2" xr3:uid="{CBB35637-8D36-4497-9DE3-42DD77770CE4}" name="X" dataDxfId="41"/>
    <tableColumn id="3" xr3:uid="{7D5F9250-0FA8-4250-9772-E710260846FF}" name="Y" dataDxfId="4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D98C8DD-29A5-4636-9F7D-6292A576B36B}" name="Table531416" displayName="Table531416" ref="Q4:W12" totalsRowShown="0">
  <autoFilter ref="Q4:W12" xr:uid="{F6F1116C-53A6-4B79-BCD9-AFC3A985D3E9}"/>
  <tableColumns count="7">
    <tableColumn id="1" xr3:uid="{5F7C927E-42A5-49F5-B13A-679E0E88406F}" name="Disaster"/>
    <tableColumn id="2" xr3:uid="{41D79BB2-7E30-44A4-92CE-32B2C39A3628}" name="International Terrorist" dataDxfId="39">
      <calculatedColumnFormula>$R$3+P5</calculatedColumnFormula>
    </tableColumn>
    <tableColumn id="3" xr3:uid="{5D427A7E-A6F5-4342-8DB0-3845FCC7000C}" name="War" dataDxfId="38">
      <calculatedColumnFormula>$S$3+P5</calculatedColumnFormula>
    </tableColumn>
    <tableColumn id="4" xr3:uid="{6EC6BA2E-AF62-4166-8678-29B4B9A06418}" name="Drugs" dataDxfId="37">
      <calculatedColumnFormula>$T$3+P5</calculatedColumnFormula>
    </tableColumn>
    <tableColumn id="7" xr3:uid="{6CA74757-3879-4BE9-98B2-E46659C3B3B2}" name="Resource Scarcities" dataDxfId="36">
      <calculatedColumnFormula>$U$3+P5</calculatedColumnFormula>
    </tableColumn>
    <tableColumn id="5" xr3:uid="{34F03887-8A50-4F44-9211-ADED924C5B74}" name="Domestic Terrorism" dataDxfId="35">
      <calculatedColumnFormula>$V$3+P5</calculatedColumnFormula>
    </tableColumn>
    <tableColumn id="6" xr3:uid="{12E90829-E214-446B-AA71-C549096010B8}" name="Civil Unrest" dataDxfId="34">
      <calculatedColumnFormula>$W$3+P5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CD25ECB-785C-4264-AE28-4DD9A5236059}" name="Table352131517" displayName="Table352131517" ref="M3:O37" totalsRowShown="0" headerRowDxfId="33" dataDxfId="32">
  <autoFilter ref="M3:O37" xr:uid="{330F6A03-D8B2-44C1-B219-D8347382C365}"/>
  <tableColumns count="3">
    <tableColumn id="1" xr3:uid="{8E35461A-6E4C-424D-B07B-87D0DDA2CB85}" name="Threshold" dataDxfId="31"/>
    <tableColumn id="2" xr3:uid="{9C2799BC-6B53-47FD-A8F9-C90359623728}" name="X" dataDxfId="30"/>
    <tableColumn id="3" xr3:uid="{F584E0A7-D86B-4257-AA6D-C82306DFDB0C}" name="Y" dataDxfId="29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0AC5674-5A5E-46AC-9294-A4A4CEBD3C4D}" name="Table53141618" displayName="Table53141618" ref="Q4:W12" totalsRowShown="0">
  <autoFilter ref="Q4:W12" xr:uid="{F6F1116C-53A6-4B79-BCD9-AFC3A985D3E9}"/>
  <tableColumns count="7">
    <tableColumn id="1" xr3:uid="{F8F5AC97-4A6B-4436-833E-FA97359F2291}" name="Disaster"/>
    <tableColumn id="2" xr3:uid="{0568B8B1-D5BD-4A97-8A8F-BD85AE1C869F}" name="International Terrorist" dataDxfId="28">
      <calculatedColumnFormula>$R$3+P5</calculatedColumnFormula>
    </tableColumn>
    <tableColumn id="3" xr3:uid="{80D9BD0C-38EB-41FB-821F-97DA6FB95AC1}" name="War" dataDxfId="27">
      <calculatedColumnFormula>$S$3+P5</calculatedColumnFormula>
    </tableColumn>
    <tableColumn id="4" xr3:uid="{5E60DA73-9CC6-45F5-9B4E-44A480A0EAEC}" name="Drugs" dataDxfId="26">
      <calculatedColumnFormula>$T$3+P5</calculatedColumnFormula>
    </tableColumn>
    <tableColumn id="7" xr3:uid="{6785611B-77E1-4645-BF7D-F34B749D01AF}" name="Resource Scarcities" dataDxfId="25">
      <calculatedColumnFormula>$U$3+P5</calculatedColumnFormula>
    </tableColumn>
    <tableColumn id="5" xr3:uid="{D7A048BA-BA83-4984-8271-E16A0E6DFBE2}" name="Domestic Terrorism" dataDxfId="24">
      <calculatedColumnFormula>$V$3+P5</calculatedColumnFormula>
    </tableColumn>
    <tableColumn id="6" xr3:uid="{2EFE877F-20B0-430D-9D28-C881D70A5DAB}" name="Civil Unrest" dataDxfId="23">
      <calculatedColumnFormula>$W$3+P5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C859A5F-3A06-45A0-9FE1-35916DCF794B}" name="Table352131519" displayName="Table352131519" ref="M3:O37" totalsRowShown="0" headerRowDxfId="22" dataDxfId="21">
  <autoFilter ref="M3:O37" xr:uid="{330F6A03-D8B2-44C1-B219-D8347382C365}"/>
  <tableColumns count="3">
    <tableColumn id="1" xr3:uid="{B5602E4A-E502-48C3-8508-5865C63CB3C3}" name="Threshold" dataDxfId="20"/>
    <tableColumn id="2" xr3:uid="{3D323D8B-4E1D-425F-8CF8-0776E5651C1B}" name="X" dataDxfId="19"/>
    <tableColumn id="3" xr3:uid="{2575CFCD-C21E-4E90-81F0-496E143CDA32}" name="Y" dataDxfId="18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9AECB8C-2919-4F55-A0E0-517824D268A0}" name="Table53141620" displayName="Table53141620" ref="Q4:W12" totalsRowShown="0">
  <autoFilter ref="Q4:W12" xr:uid="{F6F1116C-53A6-4B79-BCD9-AFC3A985D3E9}"/>
  <tableColumns count="7">
    <tableColumn id="1" xr3:uid="{44E2D347-6C02-4473-9BB9-535EAFFD7299}" name="Disaster"/>
    <tableColumn id="2" xr3:uid="{B0FDC700-E77B-447C-965F-83D24894CC99}" name="International Terrorist" dataDxfId="17">
      <calculatedColumnFormula>$R$3+P5</calculatedColumnFormula>
    </tableColumn>
    <tableColumn id="3" xr3:uid="{CD4D1965-73AA-494E-9279-3BA606926F50}" name="War" dataDxfId="16">
      <calculatedColumnFormula>$S$3+P5</calculatedColumnFormula>
    </tableColumn>
    <tableColumn id="4" xr3:uid="{0BC7065F-7142-408B-8DB0-2F9EF0FFDDDA}" name="Drugs" dataDxfId="15">
      <calculatedColumnFormula>$T$3+P5</calculatedColumnFormula>
    </tableColumn>
    <tableColumn id="7" xr3:uid="{A55E1719-EE6C-4AFB-926E-AD99E0513B12}" name="Resource Scarcities" dataDxfId="14">
      <calculatedColumnFormula>$U$3+P5</calculatedColumnFormula>
    </tableColumn>
    <tableColumn id="5" xr3:uid="{329FB430-9848-4AA8-8051-3FEEDC6A652E}" name="Domestic Terrorism" dataDxfId="13">
      <calculatedColumnFormula>$V$3+P5</calculatedColumnFormula>
    </tableColumn>
    <tableColumn id="6" xr3:uid="{13C42252-AE29-49ED-887B-85FF963A7297}" name="Civil Unrest" dataDxfId="12">
      <calculatedColumnFormula>$W$3+P5</calculatedColumnFormula>
    </tableColumn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3ADEA03-D29C-422C-83EF-6D7C8E15B3E6}" name="Table35213151921" displayName="Table35213151921" ref="M3:O37" totalsRowShown="0" headerRowDxfId="11" dataDxfId="10">
  <autoFilter ref="M3:O37" xr:uid="{330F6A03-D8B2-44C1-B219-D8347382C365}"/>
  <tableColumns count="3">
    <tableColumn id="1" xr3:uid="{E9F6D8AB-87F3-4343-9BCD-8BB5FB6FFBF3}" name="Threshold" dataDxfId="9"/>
    <tableColumn id="2" xr3:uid="{9F9B812A-0493-42E4-976E-ADCF3216A192}" name="X" dataDxfId="8"/>
    <tableColumn id="3" xr3:uid="{A109DDCC-8C95-4ECB-A9C6-4B6FABF64E99}" name="Y" dataDxfId="7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CA01A5C-1405-434F-935C-F9D3FFA07E25}" name="Table5314162022" displayName="Table5314162022" ref="Q4:W12" totalsRowShown="0">
  <autoFilter ref="Q4:W12" xr:uid="{F6F1116C-53A6-4B79-BCD9-AFC3A985D3E9}"/>
  <tableColumns count="7">
    <tableColumn id="1" xr3:uid="{504C3BB5-D0DC-4CB2-B8E2-6D3920406D8C}" name="Disaster"/>
    <tableColumn id="2" xr3:uid="{5246F3FB-452B-4A80-A2BA-3E501E474250}" name="International Terrorist" dataDxfId="6">
      <calculatedColumnFormula>$R$3+P5</calculatedColumnFormula>
    </tableColumn>
    <tableColumn id="3" xr3:uid="{59B47F78-D8B7-4107-A359-E0B7FF930C9B}" name="War" dataDxfId="5">
      <calculatedColumnFormula>$S$3+P5</calculatedColumnFormula>
    </tableColumn>
    <tableColumn id="4" xr3:uid="{FF9B8263-BFE2-41E9-B715-7C2EDFF72C86}" name="Drugs" dataDxfId="4">
      <calculatedColumnFormula>$T$3+P5</calculatedColumnFormula>
    </tableColumn>
    <tableColumn id="7" xr3:uid="{0A67C8E4-DDFF-4134-8ABB-40D0945CB440}" name="Resource Scarcities" dataDxfId="3">
      <calculatedColumnFormula>$U$3+P5</calculatedColumnFormula>
    </tableColumn>
    <tableColumn id="5" xr3:uid="{094352B5-31A1-4CD3-91B4-0E014A031D21}" name="Domestic Terrorism" dataDxfId="2">
      <calculatedColumnFormula>$V$3+P5</calculatedColumnFormula>
    </tableColumn>
    <tableColumn id="6" xr3:uid="{D9524941-7709-41F1-9782-7A7809F31731}" name="Civil Unrest" dataDxfId="1">
      <calculatedColumnFormula>$W$3+P5</calculatedColumnFormula>
    </tableColumn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AACBD0-B4C7-480C-AE11-F2A3A0374161}" name="Table3" displayName="Table3" ref="L21:O24" totalsRowShown="0">
  <autoFilter ref="L21:O24" xr:uid="{6EAACBD0-B4C7-480C-AE11-F2A3A0374161}"/>
  <tableColumns count="4">
    <tableColumn id="1" xr3:uid="{C3B6CA40-4E90-486A-BA42-C8E06689C705}" name="Line Percent" dataDxfId="0"/>
    <tableColumn id="2" xr3:uid="{0D4AFBAD-B31B-46DF-8A5F-F2866623A603}" name="START X"/>
    <tableColumn id="3" xr3:uid="{9B888217-81F4-456A-A174-13C8D622DBE7}" name="START Y"/>
    <tableColumn id="4" xr3:uid="{A19DF030-9BFC-4AAD-9BB4-3AA48998064B}" name="END X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4.4" x14ac:dyDescent="0.3"/>
  <cols>
    <col min="1" max="1" width="29" customWidth="1"/>
    <col min="2" max="3" width="12" customWidth="1"/>
  </cols>
  <sheetData>
    <row r="1" spans="1:3" ht="17.399999999999999" x14ac:dyDescent="0.3">
      <c r="A1" s="1" t="s">
        <v>0</v>
      </c>
    </row>
    <row r="2" spans="1:3" ht="15.6" x14ac:dyDescent="0.3">
      <c r="A2" s="2" t="s">
        <v>1</v>
      </c>
    </row>
    <row r="3" spans="1:3" x14ac:dyDescent="0.3">
      <c r="A3" s="3" t="s">
        <v>2</v>
      </c>
      <c r="B3" s="36" t="s">
        <v>3</v>
      </c>
      <c r="C3" s="37"/>
    </row>
    <row r="4" spans="1:3" x14ac:dyDescent="0.3">
      <c r="A4" s="4" t="s">
        <v>4</v>
      </c>
      <c r="B4" s="5">
        <v>1</v>
      </c>
      <c r="C4" s="6">
        <v>87</v>
      </c>
    </row>
    <row r="5" spans="1:3" x14ac:dyDescent="0.3">
      <c r="A5" s="4" t="s">
        <v>5</v>
      </c>
      <c r="B5" s="5">
        <v>0</v>
      </c>
      <c r="C5" s="6">
        <v>0</v>
      </c>
    </row>
    <row r="6" spans="1:3" x14ac:dyDescent="0.3">
      <c r="A6" s="7"/>
      <c r="B6" s="7" t="s">
        <v>6</v>
      </c>
      <c r="C6" s="7">
        <v>87</v>
      </c>
    </row>
    <row r="7" spans="1:3" x14ac:dyDescent="0.3">
      <c r="A7" s="7"/>
      <c r="B7" s="7" t="s">
        <v>7</v>
      </c>
      <c r="C7" s="7">
        <v>0</v>
      </c>
    </row>
  </sheetData>
  <mergeCells count="1">
    <mergeCell ref="B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>
      <selection activeCell="B8" sqref="B8"/>
    </sheetView>
  </sheetViews>
  <sheetFormatPr defaultRowHeight="14.4" x14ac:dyDescent="0.3"/>
  <cols>
    <col min="1" max="1" width="22" customWidth="1"/>
    <col min="2" max="2" width="13" customWidth="1"/>
    <col min="3" max="3" width="22" customWidth="1"/>
    <col min="4" max="4" width="12" customWidth="1"/>
  </cols>
  <sheetData>
    <row r="1" spans="1:3" ht="17.399999999999999" x14ac:dyDescent="0.3">
      <c r="A1" s="1" t="s">
        <v>0</v>
      </c>
    </row>
    <row r="2" spans="1:3" ht="15.6" x14ac:dyDescent="0.3">
      <c r="A2" s="2" t="s">
        <v>226</v>
      </c>
    </row>
    <row r="3" spans="1:3" x14ac:dyDescent="0.3">
      <c r="A3" s="3" t="s">
        <v>2</v>
      </c>
      <c r="B3" s="36" t="s">
        <v>3</v>
      </c>
      <c r="C3" s="37"/>
    </row>
    <row r="4" spans="1:3" x14ac:dyDescent="0.3">
      <c r="A4" s="4" t="s">
        <v>227</v>
      </c>
      <c r="B4" s="5">
        <v>0.63639999999999997</v>
      </c>
      <c r="C4" s="8">
        <v>49</v>
      </c>
    </row>
    <row r="5" spans="1:3" x14ac:dyDescent="0.3">
      <c r="A5" s="4" t="s">
        <v>228</v>
      </c>
      <c r="B5" s="5">
        <v>1.2999999999999999E-2</v>
      </c>
      <c r="C5" s="8">
        <v>1</v>
      </c>
    </row>
    <row r="6" spans="1:3" x14ac:dyDescent="0.3">
      <c r="A6" s="4" t="s">
        <v>229</v>
      </c>
      <c r="B6" s="5">
        <v>3.9E-2</v>
      </c>
      <c r="C6" s="8">
        <v>3</v>
      </c>
    </row>
    <row r="7" spans="1:3" x14ac:dyDescent="0.3">
      <c r="A7" s="4" t="s">
        <v>230</v>
      </c>
      <c r="B7" s="5">
        <v>0.2727</v>
      </c>
      <c r="C7" s="8">
        <v>21</v>
      </c>
    </row>
    <row r="8" spans="1:3" x14ac:dyDescent="0.3">
      <c r="A8" s="4" t="s">
        <v>231</v>
      </c>
      <c r="B8" s="5">
        <v>2.5999999999999999E-2</v>
      </c>
      <c r="C8" s="8">
        <v>2</v>
      </c>
    </row>
    <row r="9" spans="1:3" x14ac:dyDescent="0.3">
      <c r="A9" s="4" t="s">
        <v>430</v>
      </c>
      <c r="B9" s="5">
        <v>1.2999999999999999E-2</v>
      </c>
      <c r="C9" s="8">
        <v>1</v>
      </c>
    </row>
    <row r="10" spans="1:3" x14ac:dyDescent="0.3">
      <c r="A10" s="7"/>
      <c r="B10" s="7" t="s">
        <v>6</v>
      </c>
      <c r="C10" s="9">
        <v>77</v>
      </c>
    </row>
    <row r="11" spans="1:3" x14ac:dyDescent="0.3">
      <c r="A11" s="7"/>
      <c r="B11" s="7" t="s">
        <v>7</v>
      </c>
      <c r="C11" s="7">
        <v>10</v>
      </c>
    </row>
    <row r="30" spans="1:4" x14ac:dyDescent="0.3">
      <c r="A30" s="3" t="s">
        <v>12</v>
      </c>
      <c r="B30" s="3" t="s">
        <v>13</v>
      </c>
      <c r="C30" s="3" t="s">
        <v>232</v>
      </c>
      <c r="D30" s="3" t="s">
        <v>14</v>
      </c>
    </row>
    <row r="31" spans="1:4" x14ac:dyDescent="0.3">
      <c r="A31" s="4" t="s">
        <v>124</v>
      </c>
      <c r="B31" s="6" t="s">
        <v>233</v>
      </c>
      <c r="C31" s="6" t="s">
        <v>234</v>
      </c>
      <c r="D31" s="6"/>
    </row>
    <row r="32" spans="1:4" x14ac:dyDescent="0.3">
      <c r="A32" s="4" t="s">
        <v>144</v>
      </c>
      <c r="B32" s="6" t="s">
        <v>145</v>
      </c>
      <c r="C32" s="6" t="s">
        <v>235</v>
      </c>
      <c r="D32" s="6"/>
    </row>
  </sheetData>
  <mergeCells count="1">
    <mergeCell ref="B3:C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6"/>
  <sheetViews>
    <sheetView topLeftCell="B1" workbookViewId="0">
      <selection activeCell="G22" sqref="G22"/>
    </sheetView>
  </sheetViews>
  <sheetFormatPr defaultRowHeight="14.4" x14ac:dyDescent="0.3"/>
  <cols>
    <col min="1" max="1" width="20.44140625" customWidth="1"/>
    <col min="2" max="2" width="22.44140625" customWidth="1"/>
    <col min="3" max="3" width="53.88671875" bestFit="1" customWidth="1"/>
    <col min="4" max="4" width="12" customWidth="1"/>
    <col min="8" max="8" width="21.21875" customWidth="1"/>
  </cols>
  <sheetData>
    <row r="1" spans="1:9" ht="17.399999999999999" x14ac:dyDescent="0.3">
      <c r="A1" s="1" t="s">
        <v>0</v>
      </c>
      <c r="H1" s="11"/>
    </row>
    <row r="2" spans="1:9" ht="15.6" x14ac:dyDescent="0.3">
      <c r="A2" s="2" t="s">
        <v>236</v>
      </c>
      <c r="H2" s="6"/>
      <c r="I2" s="6"/>
    </row>
    <row r="3" spans="1:9" x14ac:dyDescent="0.3">
      <c r="A3" s="7" t="s">
        <v>6</v>
      </c>
      <c r="B3" s="7">
        <v>77</v>
      </c>
      <c r="H3" s="6"/>
      <c r="I3" s="6"/>
    </row>
    <row r="4" spans="1:9" x14ac:dyDescent="0.3">
      <c r="A4" s="7" t="s">
        <v>7</v>
      </c>
      <c r="B4" s="7">
        <v>10</v>
      </c>
      <c r="H4" s="6"/>
      <c r="I4" s="6"/>
    </row>
    <row r="5" spans="1:9" x14ac:dyDescent="0.3">
      <c r="B5" s="11" t="s">
        <v>433</v>
      </c>
      <c r="H5" s="12"/>
      <c r="I5" s="6"/>
    </row>
    <row r="6" spans="1:9" x14ac:dyDescent="0.3">
      <c r="B6" s="6" t="s">
        <v>240</v>
      </c>
      <c r="C6" s="6" t="s">
        <v>283</v>
      </c>
      <c r="H6" s="12"/>
      <c r="I6" s="6"/>
    </row>
    <row r="7" spans="1:9" x14ac:dyDescent="0.3">
      <c r="B7" s="6" t="s">
        <v>242</v>
      </c>
      <c r="C7" s="6" t="s">
        <v>285</v>
      </c>
      <c r="H7" s="12"/>
      <c r="I7" s="6"/>
    </row>
    <row r="8" spans="1:9" x14ac:dyDescent="0.3">
      <c r="B8" s="6" t="s">
        <v>244</v>
      </c>
      <c r="C8" s="6" t="s">
        <v>429</v>
      </c>
      <c r="H8" s="12"/>
      <c r="I8" s="6"/>
    </row>
    <row r="9" spans="1:9" x14ac:dyDescent="0.3">
      <c r="B9" s="12" t="s">
        <v>276</v>
      </c>
      <c r="C9" s="6" t="s">
        <v>287</v>
      </c>
      <c r="H9" s="12"/>
      <c r="I9" s="6"/>
    </row>
    <row r="10" spans="1:9" x14ac:dyDescent="0.3">
      <c r="B10" s="6" t="s">
        <v>427</v>
      </c>
      <c r="C10" s="6" t="s">
        <v>428</v>
      </c>
      <c r="H10" s="12"/>
      <c r="I10" s="6"/>
    </row>
    <row r="11" spans="1:9" x14ac:dyDescent="0.3">
      <c r="B11" s="6" t="s">
        <v>248</v>
      </c>
      <c r="C11" s="6" t="s">
        <v>289</v>
      </c>
      <c r="H11" s="12"/>
      <c r="I11" s="6"/>
    </row>
    <row r="12" spans="1:9" x14ac:dyDescent="0.3">
      <c r="B12" s="6" t="s">
        <v>240</v>
      </c>
      <c r="C12" s="6" t="s">
        <v>291</v>
      </c>
      <c r="H12" s="12"/>
      <c r="I12" s="6"/>
    </row>
    <row r="13" spans="1:9" x14ac:dyDescent="0.3">
      <c r="B13" s="6" t="s">
        <v>250</v>
      </c>
      <c r="C13" s="6" t="s">
        <v>292</v>
      </c>
      <c r="H13" s="12"/>
      <c r="I13" s="6"/>
    </row>
    <row r="14" spans="1:9" x14ac:dyDescent="0.3">
      <c r="B14" s="6" t="s">
        <v>307</v>
      </c>
      <c r="C14" s="6" t="s">
        <v>294</v>
      </c>
      <c r="H14" s="12"/>
      <c r="I14" s="6"/>
    </row>
    <row r="15" spans="1:9" x14ac:dyDescent="0.3">
      <c r="B15" s="6" t="s">
        <v>252</v>
      </c>
      <c r="C15" s="6" t="s">
        <v>425</v>
      </c>
      <c r="H15" s="12"/>
      <c r="I15" s="6"/>
    </row>
    <row r="16" spans="1:9" x14ac:dyDescent="0.3">
      <c r="B16" s="6" t="s">
        <v>256</v>
      </c>
      <c r="C16" s="6" t="s">
        <v>311</v>
      </c>
      <c r="H16" s="12"/>
      <c r="I16" s="6"/>
    </row>
    <row r="17" spans="1:9" x14ac:dyDescent="0.3">
      <c r="B17" s="6" t="s">
        <v>275</v>
      </c>
      <c r="C17" s="6" t="s">
        <v>302</v>
      </c>
      <c r="H17" s="12"/>
      <c r="I17" s="6"/>
    </row>
    <row r="18" spans="1:9" x14ac:dyDescent="0.3">
      <c r="B18" s="6" t="s">
        <v>258</v>
      </c>
      <c r="C18" s="6" t="s">
        <v>299</v>
      </c>
      <c r="H18" s="12"/>
      <c r="I18" s="6"/>
    </row>
    <row r="19" spans="1:9" x14ac:dyDescent="0.3">
      <c r="B19" s="12" t="s">
        <v>431</v>
      </c>
      <c r="C19" s="6" t="s">
        <v>426</v>
      </c>
      <c r="H19" s="12"/>
      <c r="I19" s="6"/>
    </row>
    <row r="20" spans="1:9" x14ac:dyDescent="0.3">
      <c r="B20" s="6" t="s">
        <v>261</v>
      </c>
      <c r="C20" s="6" t="s">
        <v>250</v>
      </c>
      <c r="H20" s="12"/>
      <c r="I20" s="6"/>
    </row>
    <row r="21" spans="1:9" x14ac:dyDescent="0.3">
      <c r="B21" s="12" t="s">
        <v>432</v>
      </c>
      <c r="C21" s="6" t="s">
        <v>306</v>
      </c>
      <c r="H21" s="12"/>
      <c r="I21" s="6"/>
    </row>
    <row r="22" spans="1:9" x14ac:dyDescent="0.3">
      <c r="B22" s="6" t="s">
        <v>266</v>
      </c>
      <c r="C22" s="6" t="s">
        <v>300</v>
      </c>
      <c r="H22" s="12"/>
      <c r="I22" s="6"/>
    </row>
    <row r="23" spans="1:9" x14ac:dyDescent="0.3">
      <c r="B23" s="6" t="s">
        <v>277</v>
      </c>
      <c r="C23" s="6" t="s">
        <v>302</v>
      </c>
      <c r="H23" s="12"/>
      <c r="I23" s="6"/>
    </row>
    <row r="24" spans="1:9" x14ac:dyDescent="0.3">
      <c r="B24" s="6" t="s">
        <v>280</v>
      </c>
      <c r="C24" s="6" t="s">
        <v>426</v>
      </c>
      <c r="H24" s="12"/>
      <c r="I24" s="6"/>
    </row>
    <row r="25" spans="1:9" x14ac:dyDescent="0.3">
      <c r="B25" s="6"/>
      <c r="C25" s="6" t="s">
        <v>250</v>
      </c>
      <c r="H25" s="12"/>
      <c r="I25" s="6"/>
    </row>
    <row r="26" spans="1:9" x14ac:dyDescent="0.3">
      <c r="B26" s="6"/>
      <c r="C26" s="6" t="s">
        <v>306</v>
      </c>
      <c r="H26" s="12"/>
      <c r="I26" s="6"/>
    </row>
    <row r="27" spans="1:9" x14ac:dyDescent="0.3">
      <c r="H27" s="12"/>
      <c r="I27" s="6"/>
    </row>
    <row r="28" spans="1:9" x14ac:dyDescent="0.3">
      <c r="H28" s="6"/>
      <c r="I28" s="6"/>
    </row>
    <row r="29" spans="1:9" x14ac:dyDescent="0.3">
      <c r="A29" s="10" t="s">
        <v>12</v>
      </c>
      <c r="B29" s="10" t="s">
        <v>13</v>
      </c>
      <c r="C29" s="10" t="s">
        <v>3</v>
      </c>
      <c r="D29" s="10" t="s">
        <v>14</v>
      </c>
      <c r="H29" s="6"/>
      <c r="I29" s="6"/>
    </row>
    <row r="30" spans="1:9" x14ac:dyDescent="0.3">
      <c r="A30" s="4" t="s">
        <v>15</v>
      </c>
      <c r="B30" s="6" t="s">
        <v>237</v>
      </c>
      <c r="C30" s="6" t="s">
        <v>238</v>
      </c>
      <c r="D30" s="6"/>
      <c r="H30" s="6"/>
      <c r="I30" s="6"/>
    </row>
    <row r="31" spans="1:9" x14ac:dyDescent="0.3">
      <c r="A31" s="4" t="s">
        <v>18</v>
      </c>
      <c r="B31" s="6" t="s">
        <v>239</v>
      </c>
      <c r="C31" s="6" t="s">
        <v>240</v>
      </c>
      <c r="D31" s="6" t="s">
        <v>241</v>
      </c>
      <c r="H31" s="6"/>
      <c r="I31" s="6"/>
    </row>
    <row r="32" spans="1:9" x14ac:dyDescent="0.3">
      <c r="A32" s="4" t="s">
        <v>21</v>
      </c>
      <c r="B32" s="6" t="s">
        <v>22</v>
      </c>
      <c r="C32" s="6" t="s">
        <v>242</v>
      </c>
      <c r="D32" s="6" t="s">
        <v>243</v>
      </c>
      <c r="H32" s="6"/>
      <c r="I32" s="6"/>
    </row>
    <row r="33" spans="1:9" x14ac:dyDescent="0.3">
      <c r="A33" s="4" t="s">
        <v>24</v>
      </c>
      <c r="B33" s="6" t="s">
        <v>25</v>
      </c>
      <c r="C33" s="6" t="s">
        <v>244</v>
      </c>
      <c r="D33" s="6" t="s">
        <v>245</v>
      </c>
      <c r="H33" s="6"/>
      <c r="I33" s="6"/>
    </row>
    <row r="34" spans="1:9" x14ac:dyDescent="0.3">
      <c r="A34" s="4" t="s">
        <v>26</v>
      </c>
      <c r="B34" s="6" t="s">
        <v>246</v>
      </c>
      <c r="C34" s="6" t="s">
        <v>242</v>
      </c>
      <c r="D34" s="6" t="s">
        <v>243</v>
      </c>
      <c r="H34" s="6"/>
      <c r="I34" s="6"/>
    </row>
    <row r="35" spans="1:9" x14ac:dyDescent="0.3">
      <c r="A35" s="4" t="s">
        <v>28</v>
      </c>
      <c r="B35" s="6" t="s">
        <v>29</v>
      </c>
      <c r="C35" s="6" t="s">
        <v>427</v>
      </c>
      <c r="D35" s="6" t="s">
        <v>245</v>
      </c>
      <c r="H35" s="6"/>
      <c r="I35" s="6"/>
    </row>
    <row r="36" spans="1:9" x14ac:dyDescent="0.3">
      <c r="A36" s="4" t="s">
        <v>31</v>
      </c>
      <c r="B36" s="6" t="s">
        <v>247</v>
      </c>
      <c r="C36" s="6" t="s">
        <v>248</v>
      </c>
      <c r="D36" s="6" t="s">
        <v>241</v>
      </c>
      <c r="H36" s="6"/>
      <c r="I36" s="6"/>
    </row>
    <row r="37" spans="1:9" x14ac:dyDescent="0.3">
      <c r="A37" s="4" t="s">
        <v>34</v>
      </c>
      <c r="B37" s="6" t="s">
        <v>35</v>
      </c>
      <c r="C37" s="6" t="s">
        <v>242</v>
      </c>
      <c r="D37" s="6" t="s">
        <v>243</v>
      </c>
      <c r="H37" s="12"/>
      <c r="I37" s="6"/>
    </row>
    <row r="38" spans="1:9" x14ac:dyDescent="0.3">
      <c r="A38" s="4" t="s">
        <v>36</v>
      </c>
      <c r="B38" s="6" t="s">
        <v>37</v>
      </c>
      <c r="C38" s="6" t="s">
        <v>242</v>
      </c>
      <c r="D38" s="6" t="s">
        <v>243</v>
      </c>
      <c r="H38" s="6"/>
      <c r="I38" s="6"/>
    </row>
    <row r="39" spans="1:9" x14ac:dyDescent="0.3">
      <c r="A39" s="4" t="s">
        <v>39</v>
      </c>
      <c r="B39" s="6" t="s">
        <v>40</v>
      </c>
      <c r="C39" s="6" t="s">
        <v>242</v>
      </c>
      <c r="D39" s="6" t="s">
        <v>243</v>
      </c>
      <c r="H39" s="12"/>
      <c r="I39" s="6"/>
    </row>
    <row r="40" spans="1:9" x14ac:dyDescent="0.3">
      <c r="A40" s="4" t="s">
        <v>42</v>
      </c>
      <c r="B40" s="6" t="s">
        <v>43</v>
      </c>
      <c r="C40" s="6" t="s">
        <v>242</v>
      </c>
      <c r="D40" s="6" t="s">
        <v>243</v>
      </c>
      <c r="H40" s="6"/>
      <c r="I40" s="6"/>
    </row>
    <row r="41" spans="1:9" x14ac:dyDescent="0.3">
      <c r="A41" s="4" t="s">
        <v>44</v>
      </c>
      <c r="B41" s="6" t="s">
        <v>45</v>
      </c>
      <c r="C41" s="6" t="s">
        <v>240</v>
      </c>
      <c r="D41" s="6" t="s">
        <v>241</v>
      </c>
      <c r="H41" s="6"/>
      <c r="I41" s="6"/>
    </row>
    <row r="42" spans="1:9" x14ac:dyDescent="0.3">
      <c r="A42" s="4" t="s">
        <v>47</v>
      </c>
      <c r="B42" s="6" t="s">
        <v>249</v>
      </c>
      <c r="C42" s="6" t="s">
        <v>244</v>
      </c>
      <c r="D42" s="6" t="s">
        <v>245</v>
      </c>
      <c r="H42" s="6"/>
      <c r="I42" s="6"/>
    </row>
    <row r="43" spans="1:9" x14ac:dyDescent="0.3">
      <c r="A43" s="4" t="s">
        <v>49</v>
      </c>
      <c r="B43" s="6" t="s">
        <v>50</v>
      </c>
      <c r="C43" s="6" t="s">
        <v>250</v>
      </c>
      <c r="D43" s="6" t="s">
        <v>241</v>
      </c>
      <c r="H43" s="6"/>
      <c r="I43" s="6"/>
    </row>
    <row r="44" spans="1:9" x14ac:dyDescent="0.3">
      <c r="A44" s="4" t="s">
        <v>52</v>
      </c>
      <c r="B44" s="6" t="s">
        <v>53</v>
      </c>
      <c r="C44" s="6" t="s">
        <v>242</v>
      </c>
      <c r="D44" s="6" t="s">
        <v>243</v>
      </c>
      <c r="H44" s="6"/>
      <c r="I44" s="6"/>
    </row>
    <row r="45" spans="1:9" x14ac:dyDescent="0.3">
      <c r="A45" s="4" t="s">
        <v>54</v>
      </c>
      <c r="B45" s="6" t="s">
        <v>55</v>
      </c>
      <c r="C45" s="6" t="s">
        <v>307</v>
      </c>
      <c r="D45" s="6" t="s">
        <v>241</v>
      </c>
      <c r="H45" s="6"/>
    </row>
    <row r="46" spans="1:9" x14ac:dyDescent="0.3">
      <c r="A46" s="4" t="s">
        <v>56</v>
      </c>
      <c r="B46" s="6" t="s">
        <v>251</v>
      </c>
      <c r="C46" s="6" t="s">
        <v>242</v>
      </c>
      <c r="D46" s="6" t="s">
        <v>243</v>
      </c>
      <c r="H46" s="6"/>
    </row>
    <row r="47" spans="1:9" x14ac:dyDescent="0.3">
      <c r="A47" s="4" t="s">
        <v>62</v>
      </c>
      <c r="B47" s="6" t="s">
        <v>63</v>
      </c>
      <c r="C47" s="6" t="s">
        <v>252</v>
      </c>
      <c r="D47" s="6" t="s">
        <v>253</v>
      </c>
      <c r="H47" s="6"/>
    </row>
    <row r="48" spans="1:9" x14ac:dyDescent="0.3">
      <c r="A48" s="4" t="s">
        <v>65</v>
      </c>
      <c r="B48" s="6" t="s">
        <v>66</v>
      </c>
      <c r="C48" s="6" t="s">
        <v>242</v>
      </c>
      <c r="D48" s="6" t="s">
        <v>254</v>
      </c>
      <c r="H48" s="6"/>
    </row>
    <row r="49" spans="1:8" x14ac:dyDescent="0.3">
      <c r="A49" s="4" t="s">
        <v>67</v>
      </c>
      <c r="B49" s="6" t="s">
        <v>68</v>
      </c>
      <c r="C49" s="6" t="s">
        <v>242</v>
      </c>
      <c r="D49" s="6" t="s">
        <v>254</v>
      </c>
      <c r="H49" s="6"/>
    </row>
    <row r="50" spans="1:8" x14ac:dyDescent="0.3">
      <c r="A50" s="4" t="s">
        <v>71</v>
      </c>
      <c r="B50" s="6" t="s">
        <v>255</v>
      </c>
      <c r="C50" s="6" t="s">
        <v>256</v>
      </c>
      <c r="D50" s="6" t="s">
        <v>241</v>
      </c>
      <c r="H50" s="6"/>
    </row>
    <row r="51" spans="1:8" x14ac:dyDescent="0.3">
      <c r="A51" s="4" t="s">
        <v>73</v>
      </c>
      <c r="B51" s="6" t="s">
        <v>257</v>
      </c>
      <c r="C51" s="6" t="s">
        <v>275</v>
      </c>
      <c r="D51" s="6" t="s">
        <v>245</v>
      </c>
      <c r="H51" s="6"/>
    </row>
    <row r="52" spans="1:8" x14ac:dyDescent="0.3">
      <c r="A52" s="4" t="s">
        <v>76</v>
      </c>
      <c r="B52" s="6" t="s">
        <v>77</v>
      </c>
      <c r="C52" s="6" t="s">
        <v>258</v>
      </c>
      <c r="D52" s="6" t="s">
        <v>259</v>
      </c>
      <c r="H52" s="6"/>
    </row>
    <row r="53" spans="1:8" x14ac:dyDescent="0.3">
      <c r="A53" s="4" t="s">
        <v>78</v>
      </c>
      <c r="B53" s="6" t="s">
        <v>260</v>
      </c>
      <c r="C53" s="6" t="s">
        <v>242</v>
      </c>
      <c r="D53" s="6" t="s">
        <v>243</v>
      </c>
      <c r="H53" s="6"/>
    </row>
    <row r="54" spans="1:8" x14ac:dyDescent="0.3">
      <c r="A54" s="4" t="s">
        <v>80</v>
      </c>
      <c r="B54" s="6" t="s">
        <v>81</v>
      </c>
      <c r="C54" s="6" t="s">
        <v>261</v>
      </c>
      <c r="D54" s="6" t="s">
        <v>241</v>
      </c>
      <c r="H54" s="6"/>
    </row>
    <row r="55" spans="1:8" x14ac:dyDescent="0.3">
      <c r="A55" s="4" t="s">
        <v>83</v>
      </c>
      <c r="B55" s="6" t="s">
        <v>84</v>
      </c>
      <c r="C55" s="6" t="s">
        <v>262</v>
      </c>
      <c r="D55" s="6" t="s">
        <v>263</v>
      </c>
      <c r="H55" s="6"/>
    </row>
    <row r="56" spans="1:8" x14ac:dyDescent="0.3">
      <c r="A56" s="4" t="s">
        <v>85</v>
      </c>
      <c r="B56" s="6" t="s">
        <v>264</v>
      </c>
      <c r="C56" s="6" t="s">
        <v>242</v>
      </c>
      <c r="D56" s="6" t="s">
        <v>243</v>
      </c>
      <c r="H56" s="6"/>
    </row>
    <row r="57" spans="1:8" x14ac:dyDescent="0.3">
      <c r="A57" s="4" t="s">
        <v>87</v>
      </c>
      <c r="B57" s="6" t="s">
        <v>88</v>
      </c>
      <c r="C57" s="6" t="s">
        <v>242</v>
      </c>
      <c r="D57" s="6" t="s">
        <v>243</v>
      </c>
      <c r="H57" s="6"/>
    </row>
    <row r="58" spans="1:8" x14ac:dyDescent="0.3">
      <c r="A58" s="4" t="s">
        <v>91</v>
      </c>
      <c r="B58" s="6" t="s">
        <v>265</v>
      </c>
      <c r="C58" s="6" t="s">
        <v>266</v>
      </c>
      <c r="D58" s="6" t="s">
        <v>245</v>
      </c>
      <c r="H58" s="6"/>
    </row>
    <row r="59" spans="1:8" x14ac:dyDescent="0.3">
      <c r="A59" s="4" t="s">
        <v>93</v>
      </c>
      <c r="B59" s="6" t="s">
        <v>94</v>
      </c>
      <c r="C59" s="6" t="s">
        <v>266</v>
      </c>
      <c r="D59" s="6" t="s">
        <v>245</v>
      </c>
      <c r="H59" s="6"/>
    </row>
    <row r="60" spans="1:8" x14ac:dyDescent="0.3">
      <c r="A60" s="4" t="s">
        <v>95</v>
      </c>
      <c r="B60" s="6" t="s">
        <v>267</v>
      </c>
      <c r="C60" s="6" t="s">
        <v>242</v>
      </c>
      <c r="D60" s="6" t="s">
        <v>243</v>
      </c>
      <c r="H60" s="6"/>
    </row>
    <row r="61" spans="1:8" x14ac:dyDescent="0.3">
      <c r="A61" s="4" t="s">
        <v>97</v>
      </c>
      <c r="B61" s="6" t="s">
        <v>269</v>
      </c>
      <c r="C61" s="6" t="s">
        <v>242</v>
      </c>
      <c r="D61" s="6" t="s">
        <v>243</v>
      </c>
      <c r="H61" s="6"/>
    </row>
    <row r="62" spans="1:8" x14ac:dyDescent="0.3">
      <c r="A62" s="4" t="s">
        <v>100</v>
      </c>
      <c r="B62" s="6" t="s">
        <v>270</v>
      </c>
      <c r="C62" s="6" t="s">
        <v>242</v>
      </c>
      <c r="D62" s="6" t="s">
        <v>243</v>
      </c>
      <c r="H62" s="6"/>
    </row>
    <row r="63" spans="1:8" x14ac:dyDescent="0.3">
      <c r="A63" s="4" t="s">
        <v>102</v>
      </c>
      <c r="B63" s="6" t="s">
        <v>103</v>
      </c>
      <c r="C63" s="6" t="s">
        <v>242</v>
      </c>
      <c r="D63" s="6" t="s">
        <v>243</v>
      </c>
      <c r="H63" s="6"/>
    </row>
    <row r="64" spans="1:8" x14ac:dyDescent="0.3">
      <c r="A64" s="4" t="s">
        <v>104</v>
      </c>
      <c r="B64" s="6" t="s">
        <v>105</v>
      </c>
      <c r="C64" s="6" t="s">
        <v>242</v>
      </c>
      <c r="D64" s="6" t="s">
        <v>243</v>
      </c>
      <c r="H64" s="6"/>
    </row>
    <row r="65" spans="1:8" x14ac:dyDescent="0.3">
      <c r="A65" s="4" t="s">
        <v>106</v>
      </c>
      <c r="B65" s="6" t="s">
        <v>271</v>
      </c>
      <c r="C65" s="6" t="s">
        <v>242</v>
      </c>
      <c r="D65" s="6" t="s">
        <v>243</v>
      </c>
      <c r="H65" s="6"/>
    </row>
    <row r="66" spans="1:8" x14ac:dyDescent="0.3">
      <c r="A66" s="4" t="s">
        <v>108</v>
      </c>
      <c r="B66" s="6" t="s">
        <v>109</v>
      </c>
      <c r="C66" s="6" t="s">
        <v>272</v>
      </c>
      <c r="D66" s="6" t="s">
        <v>245</v>
      </c>
      <c r="H66" s="6"/>
    </row>
    <row r="67" spans="1:8" x14ac:dyDescent="0.3">
      <c r="A67" s="4" t="s">
        <v>111</v>
      </c>
      <c r="B67" s="6" t="s">
        <v>112</v>
      </c>
      <c r="C67" s="6" t="s">
        <v>256</v>
      </c>
      <c r="D67" s="6" t="s">
        <v>241</v>
      </c>
      <c r="H67" s="6"/>
    </row>
    <row r="68" spans="1:8" x14ac:dyDescent="0.3">
      <c r="A68" s="4" t="s">
        <v>114</v>
      </c>
      <c r="B68" s="6" t="s">
        <v>273</v>
      </c>
      <c r="C68" s="6" t="s">
        <v>268</v>
      </c>
      <c r="D68" s="6" t="s">
        <v>243</v>
      </c>
      <c r="H68" s="6"/>
    </row>
    <row r="69" spans="1:8" x14ac:dyDescent="0.3">
      <c r="A69" s="4" t="s">
        <v>116</v>
      </c>
      <c r="B69" s="6" t="s">
        <v>274</v>
      </c>
      <c r="C69" s="6" t="s">
        <v>275</v>
      </c>
      <c r="D69" s="6" t="s">
        <v>245</v>
      </c>
      <c r="H69" s="6"/>
    </row>
    <row r="70" spans="1:8" x14ac:dyDescent="0.3">
      <c r="A70" s="4" t="s">
        <v>118</v>
      </c>
      <c r="B70" s="6" t="s">
        <v>119</v>
      </c>
      <c r="C70" s="6" t="s">
        <v>242</v>
      </c>
      <c r="D70" s="6" t="s">
        <v>243</v>
      </c>
      <c r="H70" s="6"/>
    </row>
    <row r="71" spans="1:8" x14ac:dyDescent="0.3">
      <c r="A71" s="4" t="s">
        <v>120</v>
      </c>
      <c r="B71" s="6" t="s">
        <v>121</v>
      </c>
      <c r="C71" s="6" t="s">
        <v>276</v>
      </c>
      <c r="D71" s="6" t="s">
        <v>245</v>
      </c>
      <c r="H71" s="6"/>
    </row>
    <row r="72" spans="1:8" x14ac:dyDescent="0.3">
      <c r="A72" s="4" t="s">
        <v>122</v>
      </c>
      <c r="B72" s="6" t="s">
        <v>123</v>
      </c>
      <c r="C72" s="6" t="s">
        <v>266</v>
      </c>
      <c r="D72" s="6" t="s">
        <v>245</v>
      </c>
      <c r="H72" s="6"/>
    </row>
    <row r="73" spans="1:8" x14ac:dyDescent="0.3">
      <c r="A73" s="4" t="s">
        <v>124</v>
      </c>
      <c r="B73" s="6" t="s">
        <v>233</v>
      </c>
      <c r="C73" s="6" t="s">
        <v>277</v>
      </c>
      <c r="D73" s="6" t="s">
        <v>278</v>
      </c>
      <c r="H73" s="6"/>
    </row>
    <row r="74" spans="1:8" x14ac:dyDescent="0.3">
      <c r="A74" s="4" t="s">
        <v>132</v>
      </c>
      <c r="B74" s="6" t="s">
        <v>279</v>
      </c>
      <c r="C74" s="6" t="s">
        <v>280</v>
      </c>
      <c r="D74" s="6" t="s">
        <v>253</v>
      </c>
      <c r="H74" s="6"/>
    </row>
    <row r="75" spans="1:8" x14ac:dyDescent="0.3">
      <c r="A75" s="4" t="s">
        <v>135</v>
      </c>
      <c r="B75" s="6" t="s">
        <v>281</v>
      </c>
      <c r="C75" s="6"/>
      <c r="D75" s="6" t="s">
        <v>243</v>
      </c>
      <c r="H75" s="6"/>
    </row>
    <row r="76" spans="1:8" x14ac:dyDescent="0.3">
      <c r="A76" s="4" t="s">
        <v>138</v>
      </c>
      <c r="B76" s="6" t="s">
        <v>139</v>
      </c>
      <c r="C76" s="6" t="s">
        <v>283</v>
      </c>
      <c r="D76" s="6" t="s">
        <v>241</v>
      </c>
      <c r="H76" s="6"/>
    </row>
    <row r="77" spans="1:8" x14ac:dyDescent="0.3">
      <c r="A77" s="4" t="s">
        <v>140</v>
      </c>
      <c r="B77" s="6" t="s">
        <v>284</v>
      </c>
      <c r="C77" s="6" t="s">
        <v>285</v>
      </c>
      <c r="D77" s="6" t="s">
        <v>241</v>
      </c>
      <c r="H77" s="6"/>
    </row>
    <row r="78" spans="1:8" x14ac:dyDescent="0.3">
      <c r="A78" s="4" t="s">
        <v>142</v>
      </c>
      <c r="B78" s="6" t="s">
        <v>286</v>
      </c>
      <c r="C78" s="6" t="s">
        <v>429</v>
      </c>
      <c r="D78" s="6" t="s">
        <v>253</v>
      </c>
      <c r="H78" s="6"/>
    </row>
    <row r="79" spans="1:8" x14ac:dyDescent="0.3">
      <c r="A79" s="4" t="s">
        <v>144</v>
      </c>
      <c r="B79" s="6" t="s">
        <v>145</v>
      </c>
      <c r="C79" s="6" t="s">
        <v>287</v>
      </c>
      <c r="D79" s="6" t="s">
        <v>245</v>
      </c>
      <c r="H79" s="6"/>
    </row>
    <row r="80" spans="1:8" x14ac:dyDescent="0.3">
      <c r="A80" s="4" t="s">
        <v>146</v>
      </c>
      <c r="B80" s="6" t="s">
        <v>288</v>
      </c>
      <c r="C80" s="6" t="s">
        <v>428</v>
      </c>
      <c r="D80" s="6" t="s">
        <v>245</v>
      </c>
      <c r="H80" s="6"/>
    </row>
    <row r="81" spans="1:8" x14ac:dyDescent="0.3">
      <c r="A81" s="4" t="s">
        <v>148</v>
      </c>
      <c r="B81" s="6" t="s">
        <v>149</v>
      </c>
      <c r="C81" s="6" t="s">
        <v>289</v>
      </c>
      <c r="D81" s="6" t="s">
        <v>253</v>
      </c>
      <c r="H81" s="6"/>
    </row>
    <row r="82" spans="1:8" x14ac:dyDescent="0.3">
      <c r="A82" s="4" t="s">
        <v>151</v>
      </c>
      <c r="B82" s="6" t="s">
        <v>290</v>
      </c>
      <c r="C82" s="6" t="s">
        <v>291</v>
      </c>
      <c r="D82" s="6" t="s">
        <v>253</v>
      </c>
      <c r="H82" s="6"/>
    </row>
    <row r="83" spans="1:8" x14ac:dyDescent="0.3">
      <c r="A83" s="4" t="s">
        <v>153</v>
      </c>
      <c r="B83" s="6" t="s">
        <v>154</v>
      </c>
      <c r="C83" s="6" t="s">
        <v>292</v>
      </c>
      <c r="D83" s="6" t="s">
        <v>278</v>
      </c>
      <c r="H83" s="6"/>
    </row>
    <row r="84" spans="1:8" x14ac:dyDescent="0.3">
      <c r="A84" s="4" t="s">
        <v>155</v>
      </c>
      <c r="B84" s="6" t="s">
        <v>293</v>
      </c>
      <c r="C84" s="6" t="s">
        <v>294</v>
      </c>
      <c r="D84" s="6" t="s">
        <v>278</v>
      </c>
      <c r="H84" s="6"/>
    </row>
    <row r="85" spans="1:8" x14ac:dyDescent="0.3">
      <c r="A85" s="4" t="s">
        <v>157</v>
      </c>
      <c r="B85" s="6" t="s">
        <v>295</v>
      </c>
      <c r="C85" s="6" t="s">
        <v>425</v>
      </c>
      <c r="D85" s="6" t="s">
        <v>241</v>
      </c>
      <c r="H85" s="6"/>
    </row>
    <row r="86" spans="1:8" x14ac:dyDescent="0.3">
      <c r="A86" s="4" t="s">
        <v>159</v>
      </c>
      <c r="B86" s="6" t="s">
        <v>160</v>
      </c>
      <c r="C86" s="6" t="s">
        <v>242</v>
      </c>
      <c r="D86" s="6" t="s">
        <v>254</v>
      </c>
      <c r="H86" s="6"/>
    </row>
    <row r="87" spans="1:8" x14ac:dyDescent="0.3">
      <c r="A87" s="4" t="s">
        <v>161</v>
      </c>
      <c r="B87" s="6" t="s">
        <v>296</v>
      </c>
      <c r="C87" s="6" t="s">
        <v>242</v>
      </c>
      <c r="D87" s="6" t="s">
        <v>254</v>
      </c>
      <c r="H87" s="6"/>
    </row>
    <row r="88" spans="1:8" x14ac:dyDescent="0.3">
      <c r="A88" s="4" t="s">
        <v>164</v>
      </c>
      <c r="B88" s="6" t="s">
        <v>165</v>
      </c>
      <c r="C88" s="6" t="s">
        <v>242</v>
      </c>
      <c r="D88" s="6" t="s">
        <v>243</v>
      </c>
      <c r="H88" s="6"/>
    </row>
    <row r="89" spans="1:8" x14ac:dyDescent="0.3">
      <c r="A89" s="4" t="s">
        <v>166</v>
      </c>
      <c r="B89" s="6" t="s">
        <v>167</v>
      </c>
      <c r="C89" s="6" t="s">
        <v>297</v>
      </c>
      <c r="D89" s="6" t="s">
        <v>245</v>
      </c>
      <c r="H89" s="6"/>
    </row>
    <row r="90" spans="1:8" x14ac:dyDescent="0.3">
      <c r="A90" s="4" t="s">
        <v>170</v>
      </c>
      <c r="B90" s="6" t="s">
        <v>171</v>
      </c>
      <c r="C90" s="6"/>
      <c r="D90" s="6"/>
      <c r="H90" s="6"/>
    </row>
    <row r="91" spans="1:8" x14ac:dyDescent="0.3">
      <c r="A91" s="4" t="s">
        <v>172</v>
      </c>
      <c r="B91" s="6" t="s">
        <v>298</v>
      </c>
      <c r="C91" s="6" t="s">
        <v>242</v>
      </c>
      <c r="D91" s="6" t="s">
        <v>243</v>
      </c>
      <c r="H91" s="6"/>
    </row>
    <row r="92" spans="1:8" x14ac:dyDescent="0.3">
      <c r="A92" s="4" t="s">
        <v>174</v>
      </c>
      <c r="B92" s="6" t="s">
        <v>175</v>
      </c>
      <c r="C92" s="6" t="s">
        <v>299</v>
      </c>
      <c r="D92" s="6" t="s">
        <v>241</v>
      </c>
      <c r="H92" s="6"/>
    </row>
    <row r="93" spans="1:8" x14ac:dyDescent="0.3">
      <c r="A93" s="4" t="s">
        <v>176</v>
      </c>
      <c r="B93" s="6" t="s">
        <v>177</v>
      </c>
      <c r="C93" s="6" t="s">
        <v>300</v>
      </c>
      <c r="D93" s="6" t="s">
        <v>245</v>
      </c>
      <c r="H93" s="6"/>
    </row>
    <row r="94" spans="1:8" x14ac:dyDescent="0.3">
      <c r="A94" s="4" t="s">
        <v>178</v>
      </c>
      <c r="B94" s="6" t="s">
        <v>179</v>
      </c>
      <c r="C94" s="6" t="s">
        <v>242</v>
      </c>
      <c r="D94" s="6" t="s">
        <v>243</v>
      </c>
      <c r="H94" s="6"/>
    </row>
    <row r="95" spans="1:8" x14ac:dyDescent="0.3">
      <c r="A95" s="4" t="s">
        <v>180</v>
      </c>
      <c r="B95" s="6" t="s">
        <v>301</v>
      </c>
      <c r="C95" s="6" t="s">
        <v>302</v>
      </c>
      <c r="D95" s="6" t="s">
        <v>259</v>
      </c>
      <c r="H95" s="6"/>
    </row>
    <row r="96" spans="1:8" x14ac:dyDescent="0.3">
      <c r="A96" s="4" t="s">
        <v>182</v>
      </c>
      <c r="B96" s="6" t="s">
        <v>303</v>
      </c>
      <c r="C96" s="6" t="s">
        <v>299</v>
      </c>
      <c r="D96" s="6" t="s">
        <v>241</v>
      </c>
      <c r="H96" s="6"/>
    </row>
    <row r="97" spans="1:8" x14ac:dyDescent="0.3">
      <c r="A97" s="4" t="s">
        <v>184</v>
      </c>
      <c r="B97" s="6" t="s">
        <v>185</v>
      </c>
      <c r="C97" s="6" t="s">
        <v>426</v>
      </c>
      <c r="D97" s="6" t="s">
        <v>304</v>
      </c>
      <c r="H97" s="6"/>
    </row>
    <row r="98" spans="1:8" x14ac:dyDescent="0.3">
      <c r="A98" s="4" t="s">
        <v>187</v>
      </c>
      <c r="B98" s="6" t="s">
        <v>188</v>
      </c>
      <c r="C98" s="6" t="s">
        <v>250</v>
      </c>
      <c r="D98" s="6" t="s">
        <v>241</v>
      </c>
      <c r="H98" s="6"/>
    </row>
    <row r="99" spans="1:8" x14ac:dyDescent="0.3">
      <c r="A99" s="4" t="s">
        <v>189</v>
      </c>
      <c r="B99" s="6" t="s">
        <v>305</v>
      </c>
      <c r="C99" s="6" t="s">
        <v>306</v>
      </c>
      <c r="D99" s="6" t="s">
        <v>253</v>
      </c>
      <c r="H99" s="6"/>
    </row>
    <row r="100" spans="1:8" x14ac:dyDescent="0.3">
      <c r="A100" s="4" t="s">
        <v>191</v>
      </c>
      <c r="B100" s="6" t="s">
        <v>192</v>
      </c>
      <c r="C100" s="6" t="s">
        <v>242</v>
      </c>
      <c r="D100" s="6"/>
    </row>
    <row r="101" spans="1:8" x14ac:dyDescent="0.3">
      <c r="A101" s="4" t="s">
        <v>193</v>
      </c>
      <c r="B101" s="6" t="s">
        <v>194</v>
      </c>
      <c r="C101" s="6" t="s">
        <v>307</v>
      </c>
      <c r="D101" s="6" t="s">
        <v>241</v>
      </c>
    </row>
    <row r="102" spans="1:8" x14ac:dyDescent="0.3">
      <c r="A102" s="4" t="s">
        <v>197</v>
      </c>
      <c r="B102" s="6" t="s">
        <v>308</v>
      </c>
      <c r="C102" s="6" t="s">
        <v>242</v>
      </c>
      <c r="D102" s="6" t="s">
        <v>243</v>
      </c>
    </row>
    <row r="103" spans="1:8" x14ac:dyDescent="0.3">
      <c r="A103" s="4" t="s">
        <v>201</v>
      </c>
      <c r="B103" s="6" t="s">
        <v>309</v>
      </c>
      <c r="C103" s="6" t="s">
        <v>242</v>
      </c>
      <c r="D103" s="6" t="s">
        <v>243</v>
      </c>
    </row>
    <row r="104" spans="1:8" x14ac:dyDescent="0.3">
      <c r="A104" s="4" t="s">
        <v>204</v>
      </c>
      <c r="B104" s="6" t="s">
        <v>310</v>
      </c>
      <c r="C104" s="6" t="s">
        <v>311</v>
      </c>
      <c r="D104" s="6" t="s">
        <v>245</v>
      </c>
    </row>
    <row r="105" spans="1:8" x14ac:dyDescent="0.3">
      <c r="A105" s="4" t="s">
        <v>205</v>
      </c>
      <c r="B105" s="6" t="s">
        <v>312</v>
      </c>
      <c r="C105" s="6" t="s">
        <v>242</v>
      </c>
      <c r="D105" s="6" t="s">
        <v>243</v>
      </c>
    </row>
    <row r="106" spans="1:8" x14ac:dyDescent="0.3">
      <c r="A106" s="4" t="s">
        <v>207</v>
      </c>
      <c r="B106" s="6" t="s">
        <v>208</v>
      </c>
      <c r="C106" s="6" t="s">
        <v>242</v>
      </c>
      <c r="D106" s="6" t="s">
        <v>254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6231B-E247-4594-8647-709D513CA6E3}">
  <dimension ref="A1:D32"/>
  <sheetViews>
    <sheetView topLeftCell="C1" workbookViewId="0">
      <selection activeCell="C32" sqref="C32"/>
    </sheetView>
  </sheetViews>
  <sheetFormatPr defaultRowHeight="14.4" x14ac:dyDescent="0.3"/>
  <cols>
    <col min="1" max="1" width="22" customWidth="1"/>
    <col min="2" max="2" width="13" customWidth="1"/>
    <col min="3" max="3" width="22" customWidth="1"/>
    <col min="4" max="4" width="12" customWidth="1"/>
  </cols>
  <sheetData>
    <row r="1" spans="1:3" ht="17.399999999999999" x14ac:dyDescent="0.3">
      <c r="A1" s="1" t="s">
        <v>0</v>
      </c>
    </row>
    <row r="2" spans="1:3" ht="15.6" x14ac:dyDescent="0.3">
      <c r="A2" s="2" t="s">
        <v>313</v>
      </c>
    </row>
    <row r="3" spans="1:3" x14ac:dyDescent="0.3">
      <c r="A3" s="3" t="s">
        <v>2</v>
      </c>
      <c r="B3" s="36" t="s">
        <v>3</v>
      </c>
      <c r="C3" s="37"/>
    </row>
    <row r="4" spans="1:3" x14ac:dyDescent="0.3">
      <c r="A4" s="4" t="s">
        <v>314</v>
      </c>
      <c r="B4" s="5">
        <v>0.61039999999999994</v>
      </c>
      <c r="C4" s="6">
        <v>47</v>
      </c>
    </row>
    <row r="5" spans="1:3" x14ac:dyDescent="0.3">
      <c r="A5" s="4" t="s">
        <v>315</v>
      </c>
      <c r="B5" s="5">
        <v>2.5999999999999999E-2</v>
      </c>
      <c r="C5" s="6">
        <v>2</v>
      </c>
    </row>
    <row r="6" spans="1:3" x14ac:dyDescent="0.3">
      <c r="A6" s="4" t="s">
        <v>316</v>
      </c>
      <c r="B6" s="5">
        <v>1.2999999999999999E-2</v>
      </c>
      <c r="C6" s="6">
        <v>1</v>
      </c>
    </row>
    <row r="7" spans="1:3" x14ac:dyDescent="0.3">
      <c r="A7" s="4" t="s">
        <v>318</v>
      </c>
      <c r="B7" s="5">
        <v>1.2999999999999999E-2</v>
      </c>
      <c r="C7" s="6">
        <v>1</v>
      </c>
    </row>
    <row r="8" spans="1:3" x14ac:dyDescent="0.3">
      <c r="A8" s="4" t="s">
        <v>320</v>
      </c>
      <c r="B8" s="5">
        <v>0.32469999999999999</v>
      </c>
      <c r="C8" s="6">
        <v>25</v>
      </c>
    </row>
    <row r="9" spans="1:3" x14ac:dyDescent="0.3">
      <c r="A9" s="4" t="s">
        <v>322</v>
      </c>
      <c r="B9" s="5">
        <v>1.2999999999999999E-2</v>
      </c>
      <c r="C9" s="6">
        <v>1</v>
      </c>
    </row>
    <row r="10" spans="1:3" x14ac:dyDescent="0.3">
      <c r="A10" s="7"/>
      <c r="B10" s="7" t="s">
        <v>6</v>
      </c>
      <c r="C10" s="9">
        <v>77</v>
      </c>
    </row>
    <row r="11" spans="1:3" x14ac:dyDescent="0.3">
      <c r="A11" s="7"/>
      <c r="B11" s="7" t="s">
        <v>7</v>
      </c>
      <c r="C11" s="7">
        <v>10</v>
      </c>
    </row>
    <row r="19" spans="1:4" x14ac:dyDescent="0.3">
      <c r="D19" s="3" t="s">
        <v>14</v>
      </c>
    </row>
    <row r="20" spans="1:4" x14ac:dyDescent="0.3">
      <c r="D20" s="6"/>
    </row>
    <row r="21" spans="1:4" x14ac:dyDescent="0.3">
      <c r="D21" s="6"/>
    </row>
    <row r="30" spans="1:4" x14ac:dyDescent="0.3">
      <c r="A30" s="3" t="s">
        <v>12</v>
      </c>
      <c r="B30" s="3" t="s">
        <v>13</v>
      </c>
      <c r="C30" s="3" t="s">
        <v>232</v>
      </c>
    </row>
    <row r="31" spans="1:4" x14ac:dyDescent="0.3">
      <c r="A31" s="4" t="s">
        <v>124</v>
      </c>
      <c r="B31" s="6" t="s">
        <v>233</v>
      </c>
      <c r="C31" s="6" t="s">
        <v>234</v>
      </c>
    </row>
    <row r="32" spans="1:4" x14ac:dyDescent="0.3">
      <c r="A32" s="4" t="s">
        <v>144</v>
      </c>
      <c r="B32" s="6" t="s">
        <v>145</v>
      </c>
      <c r="C32" s="6" t="s">
        <v>235</v>
      </c>
    </row>
  </sheetData>
  <mergeCells count="1">
    <mergeCell ref="B3:C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topLeftCell="A5" workbookViewId="0">
      <selection activeCell="A2" sqref="A2:XFD2"/>
    </sheetView>
  </sheetViews>
  <sheetFormatPr defaultRowHeight="14.4" x14ac:dyDescent="0.3"/>
  <cols>
    <col min="1" max="1" width="45" customWidth="1"/>
    <col min="2" max="3" width="12" customWidth="1"/>
  </cols>
  <sheetData>
    <row r="1" spans="1:3" ht="17.399999999999999" x14ac:dyDescent="0.3">
      <c r="A1" s="1" t="s">
        <v>0</v>
      </c>
    </row>
    <row r="2" spans="1:3" ht="15.6" x14ac:dyDescent="0.3">
      <c r="A2" s="2" t="s">
        <v>313</v>
      </c>
    </row>
    <row r="3" spans="1:3" x14ac:dyDescent="0.3">
      <c r="A3" s="3" t="s">
        <v>2</v>
      </c>
      <c r="B3" s="36" t="s">
        <v>3</v>
      </c>
      <c r="C3" s="37"/>
    </row>
    <row r="4" spans="1:3" x14ac:dyDescent="0.3">
      <c r="A4" s="4" t="s">
        <v>314</v>
      </c>
      <c r="B4" s="5">
        <v>0.61039999999999994</v>
      </c>
      <c r="C4" s="6">
        <v>47</v>
      </c>
    </row>
    <row r="5" spans="1:3" x14ac:dyDescent="0.3">
      <c r="A5" s="4" t="s">
        <v>315</v>
      </c>
      <c r="B5" s="5">
        <v>2.5999999999999999E-2</v>
      </c>
      <c r="C5" s="6">
        <v>2</v>
      </c>
    </row>
    <row r="6" spans="1:3" x14ac:dyDescent="0.3">
      <c r="A6" s="4" t="s">
        <v>316</v>
      </c>
      <c r="B6" s="5">
        <v>1.2999999999999999E-2</v>
      </c>
      <c r="C6" s="6">
        <v>1</v>
      </c>
    </row>
    <row r="7" spans="1:3" x14ac:dyDescent="0.3">
      <c r="A7" s="4" t="s">
        <v>317</v>
      </c>
      <c r="B7" s="5">
        <v>0</v>
      </c>
      <c r="C7" s="6">
        <v>0</v>
      </c>
    </row>
    <row r="8" spans="1:3" x14ac:dyDescent="0.3">
      <c r="A8" s="4" t="s">
        <v>318</v>
      </c>
      <c r="B8" s="5">
        <v>1.2999999999999999E-2</v>
      </c>
      <c r="C8" s="6">
        <v>1</v>
      </c>
    </row>
    <row r="9" spans="1:3" x14ac:dyDescent="0.3">
      <c r="A9" s="4" t="s">
        <v>319</v>
      </c>
      <c r="B9" s="5">
        <v>0</v>
      </c>
      <c r="C9" s="6">
        <v>0</v>
      </c>
    </row>
    <row r="10" spans="1:3" x14ac:dyDescent="0.3">
      <c r="A10" s="4" t="s">
        <v>320</v>
      </c>
      <c r="B10" s="5">
        <v>0.32469999999999999</v>
      </c>
      <c r="C10" s="6">
        <v>25</v>
      </c>
    </row>
    <row r="11" spans="1:3" x14ac:dyDescent="0.3">
      <c r="A11" s="4" t="s">
        <v>321</v>
      </c>
      <c r="B11" s="5">
        <v>0</v>
      </c>
      <c r="C11" s="6">
        <v>0</v>
      </c>
    </row>
    <row r="12" spans="1:3" x14ac:dyDescent="0.3">
      <c r="A12" s="4" t="s">
        <v>322</v>
      </c>
      <c r="B12" s="5">
        <v>1.2999999999999999E-2</v>
      </c>
      <c r="C12" s="6">
        <v>1</v>
      </c>
    </row>
    <row r="13" spans="1:3" x14ac:dyDescent="0.3">
      <c r="A13" s="4" t="s">
        <v>232</v>
      </c>
      <c r="B13" s="5">
        <v>0</v>
      </c>
      <c r="C13" s="6">
        <v>0</v>
      </c>
    </row>
    <row r="14" spans="1:3" x14ac:dyDescent="0.3">
      <c r="A14" s="7"/>
      <c r="B14" s="7" t="s">
        <v>6</v>
      </c>
      <c r="C14" s="7">
        <v>77</v>
      </c>
    </row>
    <row r="15" spans="1:3" x14ac:dyDescent="0.3">
      <c r="A15" s="7"/>
      <c r="B15" s="7" t="s">
        <v>7</v>
      </c>
      <c r="C15" s="7">
        <v>10</v>
      </c>
    </row>
  </sheetData>
  <mergeCells count="1">
    <mergeCell ref="B3:C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7" workbookViewId="0">
      <selection activeCell="J26" sqref="J26"/>
    </sheetView>
  </sheetViews>
  <sheetFormatPr defaultRowHeight="14.4" x14ac:dyDescent="0.3"/>
  <cols>
    <col min="1" max="1" width="19.44140625" customWidth="1"/>
    <col min="2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8</v>
      </c>
    </row>
    <row r="3" spans="1:5" x14ac:dyDescent="0.3">
      <c r="A3" s="3" t="s">
        <v>2</v>
      </c>
      <c r="B3" s="3" t="s">
        <v>412</v>
      </c>
      <c r="C3" s="3" t="s">
        <v>10</v>
      </c>
      <c r="D3" s="36" t="s">
        <v>3</v>
      </c>
      <c r="E3" s="37"/>
    </row>
    <row r="4" spans="1:5" x14ac:dyDescent="0.3">
      <c r="A4" s="4" t="s">
        <v>420</v>
      </c>
      <c r="B4" s="6">
        <v>36.36</v>
      </c>
      <c r="C4" s="6">
        <v>3127</v>
      </c>
      <c r="D4" s="5">
        <v>1</v>
      </c>
      <c r="E4" s="6">
        <v>86</v>
      </c>
    </row>
    <row r="5" spans="1:5" x14ac:dyDescent="0.3">
      <c r="A5" s="4" t="s">
        <v>414</v>
      </c>
      <c r="B5" s="6">
        <v>41.83</v>
      </c>
      <c r="C5" s="6"/>
      <c r="D5" s="5"/>
      <c r="E5" s="6"/>
    </row>
    <row r="6" spans="1:5" x14ac:dyDescent="0.3">
      <c r="A6" s="4" t="s">
        <v>421</v>
      </c>
      <c r="B6" s="6">
        <v>31.64</v>
      </c>
      <c r="C6" s="6"/>
      <c r="D6" s="5"/>
      <c r="E6" s="6"/>
    </row>
    <row r="7" spans="1:5" x14ac:dyDescent="0.3">
      <c r="A7" s="4" t="s">
        <v>416</v>
      </c>
      <c r="B7" s="6">
        <v>23.8</v>
      </c>
      <c r="C7" s="6"/>
      <c r="D7" s="5"/>
      <c r="E7" s="6"/>
    </row>
    <row r="8" spans="1:5" x14ac:dyDescent="0.3">
      <c r="A8" s="4" t="s">
        <v>418</v>
      </c>
      <c r="B8" s="6">
        <v>30</v>
      </c>
      <c r="C8" s="6"/>
      <c r="D8" s="5"/>
      <c r="E8" s="6"/>
    </row>
    <row r="9" spans="1:5" x14ac:dyDescent="0.3">
      <c r="A9" s="4" t="s">
        <v>419</v>
      </c>
      <c r="B9" s="6">
        <v>83</v>
      </c>
      <c r="C9" s="6"/>
      <c r="D9" s="5"/>
      <c r="E9" s="6"/>
    </row>
    <row r="10" spans="1:5" x14ac:dyDescent="0.3">
      <c r="A10" s="4" t="s">
        <v>417</v>
      </c>
      <c r="B10" s="6">
        <v>38.36</v>
      </c>
      <c r="C10" s="6"/>
      <c r="D10" s="5"/>
      <c r="E10" s="6"/>
    </row>
    <row r="11" spans="1:5" x14ac:dyDescent="0.3">
      <c r="A11" s="4" t="s">
        <v>413</v>
      </c>
      <c r="B11" s="6">
        <v>37.450000000000003</v>
      </c>
      <c r="C11" s="6"/>
      <c r="D11" s="5"/>
      <c r="E11" s="6"/>
    </row>
    <row r="12" spans="1:5" x14ac:dyDescent="0.3">
      <c r="A12" s="7"/>
      <c r="B12" s="7"/>
      <c r="C12" s="7"/>
      <c r="D12" s="7" t="s">
        <v>6</v>
      </c>
      <c r="E12" s="7">
        <v>86</v>
      </c>
    </row>
    <row r="13" spans="1:5" x14ac:dyDescent="0.3">
      <c r="A13" s="7"/>
      <c r="B13" s="7"/>
      <c r="C13" s="7"/>
      <c r="D13" s="7" t="s">
        <v>7</v>
      </c>
      <c r="E13" s="7">
        <v>1</v>
      </c>
    </row>
  </sheetData>
  <mergeCells count="1">
    <mergeCell ref="D3:E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97E8-5F9B-4FA7-A10E-D127C10F0796}">
  <dimension ref="A1:E13"/>
  <sheetViews>
    <sheetView topLeftCell="A11" workbookViewId="0">
      <selection activeCell="G37" sqref="G37"/>
    </sheetView>
  </sheetViews>
  <sheetFormatPr defaultRowHeight="14.4" x14ac:dyDescent="0.3"/>
  <cols>
    <col min="1" max="1" width="19.44140625" customWidth="1"/>
    <col min="2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209</v>
      </c>
    </row>
    <row r="3" spans="1:5" x14ac:dyDescent="0.3">
      <c r="A3" s="3" t="s">
        <v>2</v>
      </c>
      <c r="B3" s="3" t="s">
        <v>412</v>
      </c>
      <c r="C3" s="3" t="s">
        <v>10</v>
      </c>
      <c r="D3" s="36" t="s">
        <v>3</v>
      </c>
      <c r="E3" s="37"/>
    </row>
    <row r="4" spans="1:5" x14ac:dyDescent="0.3">
      <c r="A4" s="4" t="s">
        <v>420</v>
      </c>
      <c r="B4" s="6">
        <v>70.790000000000006</v>
      </c>
      <c r="C4" s="6">
        <v>3127</v>
      </c>
      <c r="D4" s="5">
        <v>1</v>
      </c>
      <c r="E4" s="6">
        <v>86</v>
      </c>
    </row>
    <row r="5" spans="1:5" x14ac:dyDescent="0.3">
      <c r="A5" s="4" t="s">
        <v>414</v>
      </c>
      <c r="B5" s="6">
        <v>44.16</v>
      </c>
      <c r="C5" s="6"/>
      <c r="D5" s="5"/>
      <c r="E5" s="6"/>
    </row>
    <row r="6" spans="1:5" x14ac:dyDescent="0.3">
      <c r="A6" s="4" t="s">
        <v>421</v>
      </c>
      <c r="B6" s="6">
        <v>73.375</v>
      </c>
      <c r="C6" s="6"/>
      <c r="D6" s="5"/>
      <c r="E6" s="6"/>
    </row>
    <row r="7" spans="1:5" x14ac:dyDescent="0.3">
      <c r="A7" s="4" t="s">
        <v>416</v>
      </c>
      <c r="B7" s="6">
        <v>77.665999999999997</v>
      </c>
      <c r="C7" s="6"/>
      <c r="D7" s="5"/>
      <c r="E7" s="6"/>
    </row>
    <row r="8" spans="1:5" x14ac:dyDescent="0.3">
      <c r="A8" s="4" t="s">
        <v>418</v>
      </c>
      <c r="B8" s="6">
        <v>42.67</v>
      </c>
      <c r="C8" s="6"/>
      <c r="D8" s="5"/>
      <c r="E8" s="6"/>
    </row>
    <row r="9" spans="1:5" x14ac:dyDescent="0.3">
      <c r="A9" s="4" t="s">
        <v>419</v>
      </c>
      <c r="B9" s="6">
        <v>98.5</v>
      </c>
      <c r="C9" s="6"/>
      <c r="D9" s="5"/>
      <c r="E9" s="6"/>
    </row>
    <row r="10" spans="1:5" x14ac:dyDescent="0.3">
      <c r="A10" s="4" t="s">
        <v>417</v>
      </c>
      <c r="B10" s="6">
        <v>74.760000000000005</v>
      </c>
      <c r="C10" s="6"/>
      <c r="D10" s="5"/>
      <c r="E10" s="6"/>
    </row>
    <row r="11" spans="1:5" x14ac:dyDescent="0.3">
      <c r="A11" s="4" t="s">
        <v>413</v>
      </c>
      <c r="B11" s="6">
        <v>76.680000000000007</v>
      </c>
      <c r="C11" s="6"/>
      <c r="D11" s="5"/>
      <c r="E11" s="6"/>
    </row>
    <row r="12" spans="1:5" x14ac:dyDescent="0.3">
      <c r="A12" s="7"/>
      <c r="B12" s="7"/>
      <c r="C12" s="7"/>
      <c r="D12" s="7" t="s">
        <v>6</v>
      </c>
      <c r="E12" s="7">
        <v>86</v>
      </c>
    </row>
    <row r="13" spans="1:5" x14ac:dyDescent="0.3">
      <c r="A13" s="7"/>
      <c r="B13" s="7"/>
      <c r="C13" s="7"/>
      <c r="D13" s="7" t="s">
        <v>7</v>
      </c>
      <c r="E13" s="7">
        <v>1</v>
      </c>
    </row>
  </sheetData>
  <mergeCells count="1">
    <mergeCell ref="D3:E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3272-68FA-48B1-B1B7-42747B8FCF16}">
  <dimension ref="A1:E13"/>
  <sheetViews>
    <sheetView topLeftCell="A11" workbookViewId="0">
      <selection activeCell="J32" sqref="J32"/>
    </sheetView>
  </sheetViews>
  <sheetFormatPr defaultRowHeight="14.4" x14ac:dyDescent="0.3"/>
  <cols>
    <col min="1" max="1" width="19.44140625" customWidth="1"/>
    <col min="2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323</v>
      </c>
    </row>
    <row r="3" spans="1:5" x14ac:dyDescent="0.3">
      <c r="A3" s="3" t="s">
        <v>2</v>
      </c>
      <c r="B3" s="3" t="s">
        <v>412</v>
      </c>
      <c r="C3" s="3" t="s">
        <v>10</v>
      </c>
      <c r="D3" s="36" t="s">
        <v>3</v>
      </c>
      <c r="E3" s="37"/>
    </row>
    <row r="4" spans="1:5" x14ac:dyDescent="0.3">
      <c r="A4" s="4" t="s">
        <v>422</v>
      </c>
      <c r="B4" s="6">
        <v>20.440000000000001</v>
      </c>
      <c r="C4" s="6"/>
      <c r="D4" s="5"/>
      <c r="E4" s="6"/>
    </row>
    <row r="5" spans="1:5" x14ac:dyDescent="0.3">
      <c r="A5" s="4" t="s">
        <v>423</v>
      </c>
      <c r="B5" s="6">
        <v>49.2</v>
      </c>
      <c r="C5" s="6"/>
      <c r="D5" s="5"/>
      <c r="E5" s="6"/>
    </row>
    <row r="6" spans="1:5" x14ac:dyDescent="0.3">
      <c r="A6" s="4" t="s">
        <v>415</v>
      </c>
      <c r="B6" s="6">
        <v>16.64</v>
      </c>
      <c r="C6" s="6"/>
      <c r="D6" s="5"/>
      <c r="E6" s="6"/>
    </row>
    <row r="7" spans="1:5" x14ac:dyDescent="0.3">
      <c r="A7" s="4" t="s">
        <v>424</v>
      </c>
      <c r="B7" s="6">
        <v>18.149999999999999</v>
      </c>
      <c r="C7" s="6"/>
      <c r="D7" s="5"/>
      <c r="E7" s="6"/>
    </row>
    <row r="8" spans="1:5" x14ac:dyDescent="0.3">
      <c r="A8" s="4" t="s">
        <v>418</v>
      </c>
      <c r="B8" s="6">
        <v>50</v>
      </c>
      <c r="C8" s="6"/>
      <c r="D8" s="5"/>
      <c r="E8" s="6"/>
    </row>
    <row r="9" spans="1:5" x14ac:dyDescent="0.3">
      <c r="A9" s="4" t="s">
        <v>419</v>
      </c>
      <c r="B9" s="6">
        <v>63.5</v>
      </c>
      <c r="C9" s="6"/>
      <c r="D9" s="5"/>
      <c r="E9" s="6"/>
    </row>
    <row r="10" spans="1:5" x14ac:dyDescent="0.3">
      <c r="A10" s="4" t="s">
        <v>417</v>
      </c>
      <c r="B10" s="6">
        <v>15.97</v>
      </c>
      <c r="C10" s="6"/>
      <c r="D10" s="5"/>
      <c r="E10" s="6"/>
    </row>
    <row r="11" spans="1:5" x14ac:dyDescent="0.3">
      <c r="A11" s="4" t="s">
        <v>413</v>
      </c>
      <c r="B11" s="6">
        <v>13.45</v>
      </c>
      <c r="C11" s="6"/>
      <c r="D11" s="5"/>
      <c r="E11" s="6"/>
    </row>
    <row r="12" spans="1:5" x14ac:dyDescent="0.3">
      <c r="A12" s="7"/>
      <c r="B12" s="7"/>
      <c r="C12" s="7"/>
      <c r="D12" s="7" t="s">
        <v>6</v>
      </c>
      <c r="E12" s="7">
        <v>75</v>
      </c>
    </row>
    <row r="13" spans="1:5" x14ac:dyDescent="0.3">
      <c r="A13" s="7"/>
      <c r="B13" s="7"/>
      <c r="C13" s="7"/>
      <c r="D13" s="7" t="s">
        <v>7</v>
      </c>
      <c r="E13" s="7"/>
    </row>
  </sheetData>
  <mergeCells count="1">
    <mergeCell ref="D3:E3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1"/>
  <sheetViews>
    <sheetView workbookViewId="0">
      <selection activeCell="A2" sqref="A2"/>
    </sheetView>
  </sheetViews>
  <sheetFormatPr defaultRowHeight="14.4" x14ac:dyDescent="0.3"/>
  <cols>
    <col min="1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209</v>
      </c>
    </row>
    <row r="3" spans="1:5" x14ac:dyDescent="0.3">
      <c r="A3" s="3" t="s">
        <v>2</v>
      </c>
      <c r="B3" s="3" t="s">
        <v>9</v>
      </c>
      <c r="C3" s="3" t="s">
        <v>10</v>
      </c>
      <c r="D3" s="36" t="s">
        <v>3</v>
      </c>
      <c r="E3" s="37"/>
    </row>
    <row r="4" spans="1:5" x14ac:dyDescent="0.3">
      <c r="A4" s="4" t="s">
        <v>11</v>
      </c>
      <c r="B4" s="6">
        <v>70.790697674418595</v>
      </c>
      <c r="C4" s="6">
        <v>6088</v>
      </c>
      <c r="D4" s="5">
        <v>1</v>
      </c>
      <c r="E4" s="6">
        <v>86</v>
      </c>
    </row>
    <row r="5" spans="1:5" x14ac:dyDescent="0.3">
      <c r="A5" s="7"/>
      <c r="B5" s="7"/>
      <c r="C5" s="7"/>
      <c r="D5" s="7" t="s">
        <v>6</v>
      </c>
      <c r="E5" s="7">
        <v>86</v>
      </c>
    </row>
    <row r="6" spans="1:5" x14ac:dyDescent="0.3">
      <c r="A6" s="7"/>
      <c r="B6" s="7"/>
      <c r="C6" s="7"/>
      <c r="D6" s="7" t="s">
        <v>7</v>
      </c>
      <c r="E6" s="7">
        <v>1</v>
      </c>
    </row>
    <row r="25" spans="1:4" x14ac:dyDescent="0.3">
      <c r="A25" s="3" t="s">
        <v>12</v>
      </c>
      <c r="B25" s="3" t="s">
        <v>13</v>
      </c>
      <c r="C25" s="3"/>
      <c r="D25" s="3" t="s">
        <v>14</v>
      </c>
    </row>
    <row r="26" spans="1:4" x14ac:dyDescent="0.3">
      <c r="A26" s="4" t="s">
        <v>15</v>
      </c>
      <c r="B26" s="6" t="s">
        <v>16</v>
      </c>
      <c r="C26" s="6" t="s">
        <v>58</v>
      </c>
      <c r="D26" s="6"/>
    </row>
    <row r="27" spans="1:4" x14ac:dyDescent="0.3">
      <c r="A27" s="4" t="s">
        <v>18</v>
      </c>
      <c r="B27" s="6" t="s">
        <v>19</v>
      </c>
      <c r="C27" s="6" t="s">
        <v>23</v>
      </c>
      <c r="D27" s="6"/>
    </row>
    <row r="28" spans="1:4" x14ac:dyDescent="0.3">
      <c r="A28" s="4" t="s">
        <v>21</v>
      </c>
      <c r="B28" s="6" t="s">
        <v>22</v>
      </c>
      <c r="C28" s="6" t="s">
        <v>23</v>
      </c>
      <c r="D28" s="6"/>
    </row>
    <row r="29" spans="1:4" x14ac:dyDescent="0.3">
      <c r="A29" s="4" t="s">
        <v>24</v>
      </c>
      <c r="B29" s="6" t="s">
        <v>25</v>
      </c>
      <c r="C29" s="6" t="s">
        <v>210</v>
      </c>
      <c r="D29" s="6"/>
    </row>
    <row r="30" spans="1:4" x14ac:dyDescent="0.3">
      <c r="A30" s="4" t="s">
        <v>26</v>
      </c>
      <c r="B30" s="6" t="s">
        <v>27</v>
      </c>
      <c r="C30" s="6" t="s">
        <v>46</v>
      </c>
      <c r="D30" s="6"/>
    </row>
    <row r="31" spans="1:4" x14ac:dyDescent="0.3">
      <c r="A31" s="4" t="s">
        <v>28</v>
      </c>
      <c r="B31" s="6" t="s">
        <v>29</v>
      </c>
      <c r="C31" s="6" t="s">
        <v>211</v>
      </c>
      <c r="D31" s="6"/>
    </row>
    <row r="32" spans="1:4" x14ac:dyDescent="0.3">
      <c r="A32" s="4" t="s">
        <v>31</v>
      </c>
      <c r="B32" s="6" t="s">
        <v>32</v>
      </c>
      <c r="C32" s="6" t="s">
        <v>23</v>
      </c>
      <c r="D32" s="6"/>
    </row>
    <row r="33" spans="1:4" x14ac:dyDescent="0.3">
      <c r="A33" s="4" t="s">
        <v>34</v>
      </c>
      <c r="B33" s="6" t="s">
        <v>35</v>
      </c>
      <c r="C33" s="6" t="s">
        <v>23</v>
      </c>
      <c r="D33" s="6"/>
    </row>
    <row r="34" spans="1:4" x14ac:dyDescent="0.3">
      <c r="A34" s="4" t="s">
        <v>36</v>
      </c>
      <c r="B34" s="6" t="s">
        <v>37</v>
      </c>
      <c r="C34" s="6" t="s">
        <v>150</v>
      </c>
      <c r="D34" s="6"/>
    </row>
    <row r="35" spans="1:4" x14ac:dyDescent="0.3">
      <c r="A35" s="4" t="s">
        <v>39</v>
      </c>
      <c r="B35" s="6" t="s">
        <v>40</v>
      </c>
      <c r="C35" s="6" t="s">
        <v>210</v>
      </c>
      <c r="D35" s="6"/>
    </row>
    <row r="36" spans="1:4" x14ac:dyDescent="0.3">
      <c r="A36" s="4" t="s">
        <v>42</v>
      </c>
      <c r="B36" s="6" t="s">
        <v>43</v>
      </c>
      <c r="C36" s="6" t="s">
        <v>212</v>
      </c>
      <c r="D36" s="6"/>
    </row>
    <row r="37" spans="1:4" x14ac:dyDescent="0.3">
      <c r="A37" s="4" t="s">
        <v>44</v>
      </c>
      <c r="B37" s="6" t="s">
        <v>45</v>
      </c>
      <c r="C37" s="6" t="s">
        <v>213</v>
      </c>
      <c r="D37" s="6"/>
    </row>
    <row r="38" spans="1:4" x14ac:dyDescent="0.3">
      <c r="A38" s="4" t="s">
        <v>47</v>
      </c>
      <c r="B38" s="6" t="s">
        <v>48</v>
      </c>
      <c r="C38" s="6" t="s">
        <v>23</v>
      </c>
      <c r="D38" s="6"/>
    </row>
    <row r="39" spans="1:4" x14ac:dyDescent="0.3">
      <c r="A39" s="4" t="s">
        <v>49</v>
      </c>
      <c r="B39" s="6" t="s">
        <v>50</v>
      </c>
      <c r="C39" s="6" t="s">
        <v>214</v>
      </c>
      <c r="D39" s="6"/>
    </row>
    <row r="40" spans="1:4" x14ac:dyDescent="0.3">
      <c r="A40" s="4" t="s">
        <v>52</v>
      </c>
      <c r="B40" s="6" t="s">
        <v>53</v>
      </c>
      <c r="C40" s="6" t="s">
        <v>46</v>
      </c>
      <c r="D40" s="6"/>
    </row>
    <row r="41" spans="1:4" x14ac:dyDescent="0.3">
      <c r="A41" s="4" t="s">
        <v>54</v>
      </c>
      <c r="B41" s="6" t="s">
        <v>55</v>
      </c>
      <c r="C41" s="6" t="s">
        <v>110</v>
      </c>
      <c r="D41" s="6"/>
    </row>
    <row r="42" spans="1:4" x14ac:dyDescent="0.3">
      <c r="A42" s="4" t="s">
        <v>56</v>
      </c>
      <c r="B42" s="6" t="s">
        <v>57</v>
      </c>
      <c r="C42" s="6" t="s">
        <v>212</v>
      </c>
      <c r="D42" s="6"/>
    </row>
    <row r="43" spans="1:4" x14ac:dyDescent="0.3">
      <c r="A43" s="4" t="s">
        <v>59</v>
      </c>
      <c r="B43" s="6" t="s">
        <v>60</v>
      </c>
      <c r="C43" s="6" t="s">
        <v>23</v>
      </c>
      <c r="D43" s="6"/>
    </row>
    <row r="44" spans="1:4" x14ac:dyDescent="0.3">
      <c r="A44" s="4" t="s">
        <v>62</v>
      </c>
      <c r="B44" s="6" t="s">
        <v>63</v>
      </c>
      <c r="C44" s="6" t="s">
        <v>150</v>
      </c>
      <c r="D44" s="6"/>
    </row>
    <row r="45" spans="1:4" x14ac:dyDescent="0.3">
      <c r="A45" s="4" t="s">
        <v>65</v>
      </c>
      <c r="B45" s="6" t="s">
        <v>66</v>
      </c>
      <c r="C45" s="6" t="s">
        <v>186</v>
      </c>
      <c r="D45" s="6"/>
    </row>
    <row r="46" spans="1:4" x14ac:dyDescent="0.3">
      <c r="A46" s="4" t="s">
        <v>67</v>
      </c>
      <c r="B46" s="6" t="s">
        <v>68</v>
      </c>
      <c r="C46" s="6" t="s">
        <v>23</v>
      </c>
      <c r="D46" s="6"/>
    </row>
    <row r="47" spans="1:4" x14ac:dyDescent="0.3">
      <c r="A47" s="4" t="s">
        <v>69</v>
      </c>
      <c r="B47" s="6" t="s">
        <v>70</v>
      </c>
      <c r="C47" s="6" t="s">
        <v>46</v>
      </c>
      <c r="D47" s="6"/>
    </row>
    <row r="48" spans="1:4" x14ac:dyDescent="0.3">
      <c r="A48" s="4" t="s">
        <v>71</v>
      </c>
      <c r="B48" s="6" t="s">
        <v>72</v>
      </c>
      <c r="C48" s="6" t="s">
        <v>17</v>
      </c>
      <c r="D48" s="6"/>
    </row>
    <row r="49" spans="1:4" x14ac:dyDescent="0.3">
      <c r="A49" s="4" t="s">
        <v>73</v>
      </c>
      <c r="B49" s="6" t="s">
        <v>74</v>
      </c>
      <c r="C49" s="6" t="s">
        <v>46</v>
      </c>
      <c r="D49" s="6"/>
    </row>
    <row r="50" spans="1:4" x14ac:dyDescent="0.3">
      <c r="A50" s="4" t="s">
        <v>76</v>
      </c>
      <c r="B50" s="6" t="s">
        <v>77</v>
      </c>
      <c r="C50" s="6" t="s">
        <v>215</v>
      </c>
      <c r="D50" s="6"/>
    </row>
    <row r="51" spans="1:4" x14ac:dyDescent="0.3">
      <c r="A51" s="4" t="s">
        <v>78</v>
      </c>
      <c r="B51" s="6" t="s">
        <v>79</v>
      </c>
      <c r="C51" s="6" t="s">
        <v>23</v>
      </c>
      <c r="D51" s="6"/>
    </row>
    <row r="52" spans="1:4" x14ac:dyDescent="0.3">
      <c r="A52" s="4" t="s">
        <v>80</v>
      </c>
      <c r="B52" s="6" t="s">
        <v>81</v>
      </c>
      <c r="C52" s="6" t="s">
        <v>23</v>
      </c>
      <c r="D52" s="6"/>
    </row>
    <row r="53" spans="1:4" x14ac:dyDescent="0.3">
      <c r="A53" s="4" t="s">
        <v>83</v>
      </c>
      <c r="B53" s="6" t="s">
        <v>84</v>
      </c>
      <c r="C53" s="6" t="s">
        <v>99</v>
      </c>
      <c r="D53" s="6"/>
    </row>
    <row r="54" spans="1:4" x14ac:dyDescent="0.3">
      <c r="A54" s="4" t="s">
        <v>85</v>
      </c>
      <c r="B54" s="6" t="s">
        <v>86</v>
      </c>
      <c r="C54" s="6" t="s">
        <v>216</v>
      </c>
      <c r="D54" s="6"/>
    </row>
    <row r="55" spans="1:4" x14ac:dyDescent="0.3">
      <c r="A55" s="4" t="s">
        <v>87</v>
      </c>
      <c r="B55" s="6" t="s">
        <v>88</v>
      </c>
      <c r="C55" s="6" t="s">
        <v>23</v>
      </c>
      <c r="D55" s="6"/>
    </row>
    <row r="56" spans="1:4" x14ac:dyDescent="0.3">
      <c r="A56" s="4" t="s">
        <v>89</v>
      </c>
      <c r="B56" s="6" t="s">
        <v>90</v>
      </c>
      <c r="C56" s="6" t="s">
        <v>23</v>
      </c>
      <c r="D56" s="6"/>
    </row>
    <row r="57" spans="1:4" x14ac:dyDescent="0.3">
      <c r="A57" s="4" t="s">
        <v>91</v>
      </c>
      <c r="B57" s="6" t="s">
        <v>92</v>
      </c>
      <c r="C57" s="6" t="s">
        <v>23</v>
      </c>
      <c r="D57" s="6"/>
    </row>
    <row r="58" spans="1:4" x14ac:dyDescent="0.3">
      <c r="A58" s="4" t="s">
        <v>93</v>
      </c>
      <c r="B58" s="6" t="s">
        <v>94</v>
      </c>
      <c r="C58" s="6" t="s">
        <v>23</v>
      </c>
      <c r="D58" s="6"/>
    </row>
    <row r="59" spans="1:4" x14ac:dyDescent="0.3">
      <c r="A59" s="4" t="s">
        <v>95</v>
      </c>
      <c r="B59" s="6" t="s">
        <v>96</v>
      </c>
      <c r="C59" s="6" t="s">
        <v>213</v>
      </c>
      <c r="D59" s="6"/>
    </row>
    <row r="60" spans="1:4" x14ac:dyDescent="0.3">
      <c r="A60" s="4" t="s">
        <v>97</v>
      </c>
      <c r="B60" s="6" t="s">
        <v>98</v>
      </c>
      <c r="C60" s="6" t="s">
        <v>110</v>
      </c>
      <c r="D60" s="6"/>
    </row>
    <row r="61" spans="1:4" x14ac:dyDescent="0.3">
      <c r="A61" s="4" t="s">
        <v>100</v>
      </c>
      <c r="B61" s="6" t="s">
        <v>101</v>
      </c>
      <c r="C61" s="6" t="s">
        <v>46</v>
      </c>
      <c r="D61" s="6"/>
    </row>
    <row r="62" spans="1:4" x14ac:dyDescent="0.3">
      <c r="A62" s="4" t="s">
        <v>102</v>
      </c>
      <c r="B62" s="6" t="s">
        <v>103</v>
      </c>
      <c r="C62" s="6" t="s">
        <v>212</v>
      </c>
      <c r="D62" s="6"/>
    </row>
    <row r="63" spans="1:4" x14ac:dyDescent="0.3">
      <c r="A63" s="4" t="s">
        <v>104</v>
      </c>
      <c r="B63" s="6" t="s">
        <v>105</v>
      </c>
      <c r="C63" s="6" t="s">
        <v>23</v>
      </c>
      <c r="D63" s="6"/>
    </row>
    <row r="64" spans="1:4" x14ac:dyDescent="0.3">
      <c r="A64" s="4" t="s">
        <v>106</v>
      </c>
      <c r="B64" s="6" t="s">
        <v>107</v>
      </c>
      <c r="C64" s="6" t="s">
        <v>46</v>
      </c>
      <c r="D64" s="6"/>
    </row>
    <row r="65" spans="1:4" x14ac:dyDescent="0.3">
      <c r="A65" s="4" t="s">
        <v>108</v>
      </c>
      <c r="B65" s="6" t="s">
        <v>109</v>
      </c>
      <c r="C65" s="6" t="s">
        <v>23</v>
      </c>
      <c r="D65" s="6"/>
    </row>
    <row r="66" spans="1:4" x14ac:dyDescent="0.3">
      <c r="A66" s="4" t="s">
        <v>111</v>
      </c>
      <c r="B66" s="6" t="s">
        <v>112</v>
      </c>
      <c r="C66" s="6" t="s">
        <v>23</v>
      </c>
      <c r="D66" s="6"/>
    </row>
    <row r="67" spans="1:4" x14ac:dyDescent="0.3">
      <c r="A67" s="4" t="s">
        <v>114</v>
      </c>
      <c r="B67" s="6" t="s">
        <v>115</v>
      </c>
      <c r="C67" s="6" t="s">
        <v>213</v>
      </c>
      <c r="D67" s="6"/>
    </row>
    <row r="68" spans="1:4" x14ac:dyDescent="0.3">
      <c r="A68" s="4" t="s">
        <v>116</v>
      </c>
      <c r="B68" s="6" t="s">
        <v>117</v>
      </c>
      <c r="C68" s="6" t="s">
        <v>23</v>
      </c>
      <c r="D68" s="6"/>
    </row>
    <row r="69" spans="1:4" x14ac:dyDescent="0.3">
      <c r="A69" s="4" t="s">
        <v>118</v>
      </c>
      <c r="B69" s="6" t="s">
        <v>119</v>
      </c>
      <c r="C69" s="6" t="s">
        <v>46</v>
      </c>
      <c r="D69" s="6"/>
    </row>
    <row r="70" spans="1:4" x14ac:dyDescent="0.3">
      <c r="A70" s="4" t="s">
        <v>120</v>
      </c>
      <c r="B70" s="6" t="s">
        <v>121</v>
      </c>
      <c r="C70" s="6" t="s">
        <v>110</v>
      </c>
      <c r="D70" s="6"/>
    </row>
    <row r="71" spans="1:4" x14ac:dyDescent="0.3">
      <c r="A71" s="4" t="s">
        <v>122</v>
      </c>
      <c r="B71" s="6" t="s">
        <v>123</v>
      </c>
      <c r="C71" s="6" t="s">
        <v>23</v>
      </c>
      <c r="D71" s="6"/>
    </row>
    <row r="72" spans="1:4" x14ac:dyDescent="0.3">
      <c r="A72" s="4" t="s">
        <v>124</v>
      </c>
      <c r="B72" s="6" t="s">
        <v>125</v>
      </c>
      <c r="C72" s="6" t="s">
        <v>58</v>
      </c>
      <c r="D72" s="6"/>
    </row>
    <row r="73" spans="1:4" x14ac:dyDescent="0.3">
      <c r="A73" s="4" t="s">
        <v>130</v>
      </c>
      <c r="B73" s="6" t="s">
        <v>127</v>
      </c>
      <c r="C73" s="6" t="s">
        <v>163</v>
      </c>
      <c r="D73" s="6"/>
    </row>
    <row r="74" spans="1:4" x14ac:dyDescent="0.3">
      <c r="A74" s="4" t="s">
        <v>126</v>
      </c>
      <c r="B74" s="6" t="s">
        <v>127</v>
      </c>
      <c r="C74" s="6" t="s">
        <v>217</v>
      </c>
      <c r="D74" s="6"/>
    </row>
    <row r="75" spans="1:4" x14ac:dyDescent="0.3">
      <c r="A75" s="4" t="s">
        <v>129</v>
      </c>
      <c r="B75" s="6" t="s">
        <v>127</v>
      </c>
      <c r="C75" s="6" t="s">
        <v>218</v>
      </c>
      <c r="D75" s="6"/>
    </row>
    <row r="76" spans="1:4" x14ac:dyDescent="0.3">
      <c r="A76" s="4" t="s">
        <v>132</v>
      </c>
      <c r="B76" s="6" t="s">
        <v>133</v>
      </c>
      <c r="C76" s="6" t="s">
        <v>41</v>
      </c>
      <c r="D76" s="6"/>
    </row>
    <row r="77" spans="1:4" x14ac:dyDescent="0.3">
      <c r="A77" s="4" t="s">
        <v>135</v>
      </c>
      <c r="B77" s="6" t="s">
        <v>136</v>
      </c>
      <c r="C77" s="6" t="s">
        <v>219</v>
      </c>
      <c r="D77" s="6"/>
    </row>
    <row r="78" spans="1:4" x14ac:dyDescent="0.3">
      <c r="A78" s="4" t="s">
        <v>138</v>
      </c>
      <c r="B78" s="6" t="s">
        <v>139</v>
      </c>
      <c r="C78" s="6" t="s">
        <v>134</v>
      </c>
      <c r="D78" s="6"/>
    </row>
    <row r="79" spans="1:4" x14ac:dyDescent="0.3">
      <c r="A79" s="4" t="s">
        <v>140</v>
      </c>
      <c r="B79" s="6" t="s">
        <v>141</v>
      </c>
      <c r="C79" s="6" t="s">
        <v>23</v>
      </c>
      <c r="D79" s="6"/>
    </row>
    <row r="80" spans="1:4" x14ac:dyDescent="0.3">
      <c r="A80" s="4" t="s">
        <v>142</v>
      </c>
      <c r="B80" s="6" t="s">
        <v>143</v>
      </c>
      <c r="C80" s="6" t="s">
        <v>75</v>
      </c>
      <c r="D80" s="6"/>
    </row>
    <row r="81" spans="1:4" x14ac:dyDescent="0.3">
      <c r="A81" s="4" t="s">
        <v>144</v>
      </c>
      <c r="B81" s="6" t="s">
        <v>145</v>
      </c>
      <c r="C81" s="6" t="s">
        <v>220</v>
      </c>
      <c r="D81" s="6"/>
    </row>
    <row r="82" spans="1:4" x14ac:dyDescent="0.3">
      <c r="A82" s="4" t="s">
        <v>146</v>
      </c>
      <c r="B82" s="6" t="s">
        <v>147</v>
      </c>
      <c r="C82" s="6" t="s">
        <v>41</v>
      </c>
      <c r="D82" s="6"/>
    </row>
    <row r="83" spans="1:4" x14ac:dyDescent="0.3">
      <c r="A83" s="4" t="s">
        <v>148</v>
      </c>
      <c r="B83" s="6" t="s">
        <v>149</v>
      </c>
      <c r="C83" s="6" t="s">
        <v>150</v>
      </c>
      <c r="D83" s="6"/>
    </row>
    <row r="84" spans="1:4" x14ac:dyDescent="0.3">
      <c r="A84" s="4" t="s">
        <v>151</v>
      </c>
      <c r="B84" s="6" t="s">
        <v>152</v>
      </c>
      <c r="C84" s="6" t="s">
        <v>221</v>
      </c>
      <c r="D84" s="6"/>
    </row>
    <row r="85" spans="1:4" x14ac:dyDescent="0.3">
      <c r="A85" s="4" t="s">
        <v>153</v>
      </c>
      <c r="B85" s="6" t="s">
        <v>154</v>
      </c>
      <c r="C85" s="6" t="s">
        <v>222</v>
      </c>
      <c r="D85" s="6"/>
    </row>
    <row r="86" spans="1:4" x14ac:dyDescent="0.3">
      <c r="A86" s="4" t="s">
        <v>155</v>
      </c>
      <c r="B86" s="6" t="s">
        <v>156</v>
      </c>
      <c r="C86" s="6" t="s">
        <v>186</v>
      </c>
      <c r="D86" s="6"/>
    </row>
    <row r="87" spans="1:4" x14ac:dyDescent="0.3">
      <c r="A87" s="4" t="s">
        <v>157</v>
      </c>
      <c r="B87" s="6" t="s">
        <v>158</v>
      </c>
      <c r="C87" s="6" t="s">
        <v>23</v>
      </c>
      <c r="D87" s="6"/>
    </row>
    <row r="88" spans="1:4" x14ac:dyDescent="0.3">
      <c r="A88" s="4" t="s">
        <v>159</v>
      </c>
      <c r="B88" s="6" t="s">
        <v>160</v>
      </c>
      <c r="C88" s="6" t="s">
        <v>213</v>
      </c>
      <c r="D88" s="6"/>
    </row>
    <row r="89" spans="1:4" x14ac:dyDescent="0.3">
      <c r="A89" s="4" t="s">
        <v>161</v>
      </c>
      <c r="B89" s="6" t="s">
        <v>162</v>
      </c>
      <c r="C89" s="6" t="s">
        <v>223</v>
      </c>
      <c r="D89" s="6"/>
    </row>
    <row r="90" spans="1:4" x14ac:dyDescent="0.3">
      <c r="A90" s="4" t="s">
        <v>164</v>
      </c>
      <c r="B90" s="6" t="s">
        <v>165</v>
      </c>
      <c r="C90" s="6" t="s">
        <v>23</v>
      </c>
      <c r="D90" s="6"/>
    </row>
    <row r="91" spans="1:4" x14ac:dyDescent="0.3">
      <c r="A91" s="4" t="s">
        <v>166</v>
      </c>
      <c r="B91" s="6" t="s">
        <v>167</v>
      </c>
      <c r="C91" s="6" t="s">
        <v>110</v>
      </c>
      <c r="D91" s="6"/>
    </row>
    <row r="92" spans="1:4" x14ac:dyDescent="0.3">
      <c r="A92" s="4" t="s">
        <v>168</v>
      </c>
      <c r="B92" s="6" t="s">
        <v>169</v>
      </c>
      <c r="C92" s="6" t="s">
        <v>23</v>
      </c>
      <c r="D92" s="6"/>
    </row>
    <row r="93" spans="1:4" x14ac:dyDescent="0.3">
      <c r="A93" s="4" t="s">
        <v>170</v>
      </c>
      <c r="B93" s="6" t="s">
        <v>171</v>
      </c>
      <c r="C93" s="6" t="s">
        <v>137</v>
      </c>
      <c r="D93" s="6"/>
    </row>
    <row r="94" spans="1:4" x14ac:dyDescent="0.3">
      <c r="A94" s="4" t="s">
        <v>172</v>
      </c>
      <c r="B94" s="6" t="s">
        <v>173</v>
      </c>
      <c r="C94" s="6" t="s">
        <v>224</v>
      </c>
      <c r="D94" s="6"/>
    </row>
    <row r="95" spans="1:4" x14ac:dyDescent="0.3">
      <c r="A95" s="4" t="s">
        <v>174</v>
      </c>
      <c r="B95" s="6" t="s">
        <v>175</v>
      </c>
      <c r="C95" s="6" t="s">
        <v>131</v>
      </c>
      <c r="D95" s="6"/>
    </row>
    <row r="96" spans="1:4" x14ac:dyDescent="0.3">
      <c r="A96" s="4" t="s">
        <v>176</v>
      </c>
      <c r="B96" s="6" t="s">
        <v>177</v>
      </c>
      <c r="C96" s="6" t="s">
        <v>46</v>
      </c>
      <c r="D96" s="6"/>
    </row>
    <row r="97" spans="1:4" x14ac:dyDescent="0.3">
      <c r="A97" s="4" t="s">
        <v>178</v>
      </c>
      <c r="B97" s="6" t="s">
        <v>179</v>
      </c>
      <c r="C97" s="6" t="s">
        <v>110</v>
      </c>
      <c r="D97" s="6"/>
    </row>
    <row r="98" spans="1:4" x14ac:dyDescent="0.3">
      <c r="A98" s="4" t="s">
        <v>180</v>
      </c>
      <c r="B98" s="6" t="s">
        <v>181</v>
      </c>
      <c r="C98" s="6" t="s">
        <v>23</v>
      </c>
      <c r="D98" s="6"/>
    </row>
    <row r="99" spans="1:4" x14ac:dyDescent="0.3">
      <c r="A99" s="4" t="s">
        <v>182</v>
      </c>
      <c r="B99" s="6" t="s">
        <v>183</v>
      </c>
      <c r="C99" s="6" t="s">
        <v>213</v>
      </c>
      <c r="D99" s="6"/>
    </row>
    <row r="100" spans="1:4" x14ac:dyDescent="0.3">
      <c r="A100" s="4" t="s">
        <v>184</v>
      </c>
      <c r="B100" s="6" t="s">
        <v>185</v>
      </c>
      <c r="C100" s="6" t="s">
        <v>46</v>
      </c>
      <c r="D100" s="6"/>
    </row>
    <row r="101" spans="1:4" x14ac:dyDescent="0.3">
      <c r="A101" s="4" t="s">
        <v>187</v>
      </c>
      <c r="B101" s="6" t="s">
        <v>188</v>
      </c>
      <c r="C101" s="6" t="s">
        <v>33</v>
      </c>
      <c r="D101" s="6"/>
    </row>
    <row r="102" spans="1:4" x14ac:dyDescent="0.3">
      <c r="A102" s="4" t="s">
        <v>189</v>
      </c>
      <c r="B102" s="6" t="s">
        <v>190</v>
      </c>
      <c r="C102" s="6" t="s">
        <v>46</v>
      </c>
      <c r="D102" s="6"/>
    </row>
    <row r="103" spans="1:4" x14ac:dyDescent="0.3">
      <c r="A103" s="4" t="s">
        <v>191</v>
      </c>
      <c r="B103" s="6" t="s">
        <v>192</v>
      </c>
      <c r="C103" s="6" t="s">
        <v>75</v>
      </c>
      <c r="D103" s="6"/>
    </row>
    <row r="104" spans="1:4" x14ac:dyDescent="0.3">
      <c r="A104" s="4" t="s">
        <v>193</v>
      </c>
      <c r="B104" s="6" t="s">
        <v>194</v>
      </c>
      <c r="C104" s="6" t="s">
        <v>213</v>
      </c>
      <c r="D104" s="6"/>
    </row>
    <row r="105" spans="1:4" x14ac:dyDescent="0.3">
      <c r="A105" s="4" t="s">
        <v>195</v>
      </c>
      <c r="B105" s="6" t="s">
        <v>196</v>
      </c>
      <c r="C105" s="6" t="s">
        <v>186</v>
      </c>
      <c r="D105" s="6"/>
    </row>
    <row r="106" spans="1:4" x14ac:dyDescent="0.3">
      <c r="A106" s="4" t="s">
        <v>197</v>
      </c>
      <c r="B106" s="6" t="s">
        <v>198</v>
      </c>
      <c r="C106" s="6" t="s">
        <v>23</v>
      </c>
      <c r="D106" s="6"/>
    </row>
    <row r="107" spans="1:4" x14ac:dyDescent="0.3">
      <c r="A107" s="4" t="s">
        <v>199</v>
      </c>
      <c r="B107" s="6" t="s">
        <v>200</v>
      </c>
      <c r="C107" s="6" t="s">
        <v>203</v>
      </c>
      <c r="D107" s="6"/>
    </row>
    <row r="108" spans="1:4" x14ac:dyDescent="0.3">
      <c r="A108" s="4" t="s">
        <v>204</v>
      </c>
      <c r="B108" s="6" t="s">
        <v>202</v>
      </c>
      <c r="C108" s="6" t="s">
        <v>225</v>
      </c>
      <c r="D108" s="6"/>
    </row>
    <row r="109" spans="1:4" x14ac:dyDescent="0.3">
      <c r="A109" s="4" t="s">
        <v>201</v>
      </c>
      <c r="B109" s="6" t="s">
        <v>202</v>
      </c>
      <c r="C109" s="6" t="s">
        <v>110</v>
      </c>
      <c r="D109" s="6"/>
    </row>
    <row r="110" spans="1:4" x14ac:dyDescent="0.3">
      <c r="A110" s="4" t="s">
        <v>205</v>
      </c>
      <c r="B110" s="6" t="s">
        <v>206</v>
      </c>
      <c r="C110" s="6" t="s">
        <v>23</v>
      </c>
      <c r="D110" s="6"/>
    </row>
    <row r="111" spans="1:4" x14ac:dyDescent="0.3">
      <c r="A111" s="4" t="s">
        <v>207</v>
      </c>
      <c r="B111" s="6" t="s">
        <v>208</v>
      </c>
      <c r="C111" s="6" t="s">
        <v>23</v>
      </c>
      <c r="D111" s="6"/>
    </row>
  </sheetData>
  <mergeCells count="1">
    <mergeCell ref="D3:E3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0"/>
  <sheetViews>
    <sheetView workbookViewId="0">
      <selection activeCell="B4" sqref="B4"/>
    </sheetView>
  </sheetViews>
  <sheetFormatPr defaultRowHeight="14.4" x14ac:dyDescent="0.3"/>
  <cols>
    <col min="1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323</v>
      </c>
    </row>
    <row r="3" spans="1:5" x14ac:dyDescent="0.3">
      <c r="A3" s="3" t="s">
        <v>2</v>
      </c>
      <c r="B3" s="3" t="s">
        <v>9</v>
      </c>
      <c r="C3" s="3" t="s">
        <v>10</v>
      </c>
      <c r="D3" s="36" t="s">
        <v>3</v>
      </c>
      <c r="E3" s="37"/>
    </row>
    <row r="4" spans="1:5" x14ac:dyDescent="0.3">
      <c r="A4" s="4" t="s">
        <v>11</v>
      </c>
      <c r="B4" s="6">
        <v>20.440000000000001</v>
      </c>
      <c r="C4" s="6">
        <v>1533</v>
      </c>
      <c r="D4" s="5">
        <v>1</v>
      </c>
      <c r="E4" s="6">
        <v>75</v>
      </c>
    </row>
    <row r="5" spans="1:5" x14ac:dyDescent="0.3">
      <c r="A5" s="7"/>
      <c r="B5" s="7"/>
      <c r="C5" s="7"/>
      <c r="D5" s="7" t="s">
        <v>6</v>
      </c>
      <c r="E5" s="7">
        <v>75</v>
      </c>
    </row>
    <row r="6" spans="1:5" x14ac:dyDescent="0.3">
      <c r="A6" s="7"/>
      <c r="B6" s="7"/>
      <c r="C6" s="7"/>
      <c r="D6" s="7" t="s">
        <v>7</v>
      </c>
      <c r="E6" s="7">
        <v>12</v>
      </c>
    </row>
    <row r="25" spans="1:4" x14ac:dyDescent="0.3">
      <c r="A25" s="3" t="s">
        <v>12</v>
      </c>
      <c r="B25" s="3" t="s">
        <v>13</v>
      </c>
      <c r="C25" s="3"/>
      <c r="D25" s="3" t="s">
        <v>14</v>
      </c>
    </row>
    <row r="26" spans="1:4" x14ac:dyDescent="0.3">
      <c r="A26" s="4" t="s">
        <v>15</v>
      </c>
      <c r="B26" s="6" t="s">
        <v>237</v>
      </c>
      <c r="C26" s="6" t="s">
        <v>75</v>
      </c>
      <c r="D26" s="6"/>
    </row>
    <row r="27" spans="1:4" x14ac:dyDescent="0.3">
      <c r="A27" s="4" t="s">
        <v>18</v>
      </c>
      <c r="B27" s="6" t="s">
        <v>324</v>
      </c>
      <c r="C27" s="6" t="s">
        <v>75</v>
      </c>
      <c r="D27" s="6"/>
    </row>
    <row r="28" spans="1:4" x14ac:dyDescent="0.3">
      <c r="A28" s="4" t="s">
        <v>21</v>
      </c>
      <c r="B28" s="6" t="s">
        <v>325</v>
      </c>
      <c r="C28" s="6" t="s">
        <v>41</v>
      </c>
      <c r="D28" s="6"/>
    </row>
    <row r="29" spans="1:4" x14ac:dyDescent="0.3">
      <c r="A29" s="4" t="s">
        <v>24</v>
      </c>
      <c r="B29" s="6" t="s">
        <v>326</v>
      </c>
      <c r="C29" s="6" t="s">
        <v>17</v>
      </c>
      <c r="D29" s="6"/>
    </row>
    <row r="30" spans="1:4" x14ac:dyDescent="0.3">
      <c r="A30" s="4" t="s">
        <v>26</v>
      </c>
      <c r="B30" s="6" t="s">
        <v>246</v>
      </c>
      <c r="C30" s="6" t="s">
        <v>75</v>
      </c>
      <c r="D30" s="6"/>
    </row>
    <row r="31" spans="1:4" x14ac:dyDescent="0.3">
      <c r="A31" s="4" t="s">
        <v>28</v>
      </c>
      <c r="B31" s="6" t="s">
        <v>327</v>
      </c>
      <c r="C31" s="6" t="s">
        <v>222</v>
      </c>
      <c r="D31" s="6"/>
    </row>
    <row r="32" spans="1:4" x14ac:dyDescent="0.3">
      <c r="A32" s="4" t="s">
        <v>31</v>
      </c>
      <c r="B32" s="6" t="s">
        <v>328</v>
      </c>
      <c r="C32" s="6" t="s">
        <v>82</v>
      </c>
      <c r="D32" s="6"/>
    </row>
    <row r="33" spans="1:4" x14ac:dyDescent="0.3">
      <c r="A33" s="4" t="s">
        <v>34</v>
      </c>
      <c r="B33" s="6" t="s">
        <v>329</v>
      </c>
      <c r="C33" s="6" t="s">
        <v>330</v>
      </c>
      <c r="D33" s="6"/>
    </row>
    <row r="34" spans="1:4" x14ac:dyDescent="0.3">
      <c r="A34" s="4" t="s">
        <v>36</v>
      </c>
      <c r="B34" s="6" t="s">
        <v>331</v>
      </c>
      <c r="C34" s="6" t="s">
        <v>332</v>
      </c>
      <c r="D34" s="6"/>
    </row>
    <row r="35" spans="1:4" x14ac:dyDescent="0.3">
      <c r="A35" s="4" t="s">
        <v>39</v>
      </c>
      <c r="B35" s="6" t="s">
        <v>333</v>
      </c>
      <c r="C35" s="6" t="s">
        <v>332</v>
      </c>
      <c r="D35" s="6"/>
    </row>
    <row r="36" spans="1:4" x14ac:dyDescent="0.3">
      <c r="A36" s="4" t="s">
        <v>42</v>
      </c>
      <c r="B36" s="6" t="s">
        <v>334</v>
      </c>
      <c r="C36" s="6" t="s">
        <v>282</v>
      </c>
      <c r="D36" s="6"/>
    </row>
    <row r="37" spans="1:4" x14ac:dyDescent="0.3">
      <c r="A37" s="4" t="s">
        <v>44</v>
      </c>
      <c r="B37" s="6" t="s">
        <v>335</v>
      </c>
      <c r="C37" s="6" t="s">
        <v>58</v>
      </c>
      <c r="D37" s="6"/>
    </row>
    <row r="38" spans="1:4" x14ac:dyDescent="0.3">
      <c r="A38" s="4" t="s">
        <v>49</v>
      </c>
      <c r="B38" s="6" t="s">
        <v>336</v>
      </c>
      <c r="C38" s="6" t="s">
        <v>61</v>
      </c>
      <c r="D38" s="6"/>
    </row>
    <row r="39" spans="1:4" x14ac:dyDescent="0.3">
      <c r="A39" s="4" t="s">
        <v>52</v>
      </c>
      <c r="B39" s="6" t="s">
        <v>337</v>
      </c>
      <c r="C39" s="6" t="s">
        <v>38</v>
      </c>
      <c r="D39" s="6"/>
    </row>
    <row r="40" spans="1:4" x14ac:dyDescent="0.3">
      <c r="A40" s="4" t="s">
        <v>54</v>
      </c>
      <c r="B40" s="6" t="s">
        <v>338</v>
      </c>
      <c r="C40" s="6" t="s">
        <v>41</v>
      </c>
      <c r="D40" s="6"/>
    </row>
    <row r="41" spans="1:4" x14ac:dyDescent="0.3">
      <c r="A41" s="4" t="s">
        <v>56</v>
      </c>
      <c r="B41" s="6" t="s">
        <v>339</v>
      </c>
      <c r="C41" s="6" t="s">
        <v>17</v>
      </c>
      <c r="D41" s="6"/>
    </row>
    <row r="42" spans="1:4" x14ac:dyDescent="0.3">
      <c r="A42" s="4" t="s">
        <v>62</v>
      </c>
      <c r="B42" s="6" t="s">
        <v>340</v>
      </c>
      <c r="C42" s="6" t="s">
        <v>75</v>
      </c>
      <c r="D42" s="6"/>
    </row>
    <row r="43" spans="1:4" x14ac:dyDescent="0.3">
      <c r="A43" s="4" t="s">
        <v>65</v>
      </c>
      <c r="B43" s="6" t="s">
        <v>341</v>
      </c>
      <c r="C43" s="6" t="s">
        <v>342</v>
      </c>
      <c r="D43" s="6"/>
    </row>
    <row r="44" spans="1:4" x14ac:dyDescent="0.3">
      <c r="A44" s="4" t="s">
        <v>67</v>
      </c>
      <c r="B44" s="6" t="s">
        <v>343</v>
      </c>
      <c r="C44" s="6" t="s">
        <v>75</v>
      </c>
      <c r="D44" s="6"/>
    </row>
    <row r="45" spans="1:4" x14ac:dyDescent="0.3">
      <c r="A45" s="4" t="s">
        <v>71</v>
      </c>
      <c r="B45" s="6" t="s">
        <v>344</v>
      </c>
      <c r="C45" s="6" t="s">
        <v>38</v>
      </c>
      <c r="D45" s="6"/>
    </row>
    <row r="46" spans="1:4" x14ac:dyDescent="0.3">
      <c r="A46" s="4" t="s">
        <v>73</v>
      </c>
      <c r="B46" s="6" t="s">
        <v>345</v>
      </c>
      <c r="C46" s="6" t="s">
        <v>75</v>
      </c>
      <c r="D46" s="6"/>
    </row>
    <row r="47" spans="1:4" x14ac:dyDescent="0.3">
      <c r="A47" s="4" t="s">
        <v>76</v>
      </c>
      <c r="B47" s="6" t="s">
        <v>346</v>
      </c>
      <c r="C47" s="6" t="s">
        <v>347</v>
      </c>
      <c r="D47" s="6"/>
    </row>
    <row r="48" spans="1:4" x14ac:dyDescent="0.3">
      <c r="A48" s="4" t="s">
        <v>78</v>
      </c>
      <c r="B48" s="6" t="s">
        <v>348</v>
      </c>
      <c r="C48" s="6" t="s">
        <v>38</v>
      </c>
      <c r="D48" s="6"/>
    </row>
    <row r="49" spans="1:4" x14ac:dyDescent="0.3">
      <c r="A49" s="4" t="s">
        <v>80</v>
      </c>
      <c r="B49" s="6" t="s">
        <v>349</v>
      </c>
      <c r="C49" s="6" t="s">
        <v>75</v>
      </c>
      <c r="D49" s="6"/>
    </row>
    <row r="50" spans="1:4" x14ac:dyDescent="0.3">
      <c r="A50" s="4" t="s">
        <v>83</v>
      </c>
      <c r="B50" s="6" t="s">
        <v>350</v>
      </c>
      <c r="C50" s="6" t="s">
        <v>17</v>
      </c>
      <c r="D50" s="6"/>
    </row>
    <row r="51" spans="1:4" x14ac:dyDescent="0.3">
      <c r="A51" s="4" t="s">
        <v>85</v>
      </c>
      <c r="B51" s="6" t="s">
        <v>351</v>
      </c>
      <c r="C51" s="6" t="s">
        <v>75</v>
      </c>
      <c r="D51" s="6"/>
    </row>
    <row r="52" spans="1:4" x14ac:dyDescent="0.3">
      <c r="A52" s="4" t="s">
        <v>87</v>
      </c>
      <c r="B52" s="6" t="s">
        <v>352</v>
      </c>
      <c r="C52" s="6" t="s">
        <v>75</v>
      </c>
      <c r="D52" s="6"/>
    </row>
    <row r="53" spans="1:4" x14ac:dyDescent="0.3">
      <c r="A53" s="4" t="s">
        <v>91</v>
      </c>
      <c r="B53" s="6" t="s">
        <v>265</v>
      </c>
      <c r="C53" s="6" t="s">
        <v>75</v>
      </c>
      <c r="D53" s="6"/>
    </row>
    <row r="54" spans="1:4" x14ac:dyDescent="0.3">
      <c r="A54" s="4" t="s">
        <v>93</v>
      </c>
      <c r="B54" s="6" t="s">
        <v>353</v>
      </c>
      <c r="C54" s="6" t="s">
        <v>38</v>
      </c>
      <c r="D54" s="6"/>
    </row>
    <row r="55" spans="1:4" x14ac:dyDescent="0.3">
      <c r="A55" s="4" t="s">
        <v>95</v>
      </c>
      <c r="B55" s="6" t="s">
        <v>267</v>
      </c>
      <c r="C55" s="6" t="s">
        <v>354</v>
      </c>
      <c r="D55" s="6"/>
    </row>
    <row r="56" spans="1:4" x14ac:dyDescent="0.3">
      <c r="A56" s="4" t="s">
        <v>97</v>
      </c>
      <c r="B56" s="6" t="s">
        <v>355</v>
      </c>
      <c r="C56" s="6" t="s">
        <v>356</v>
      </c>
      <c r="D56" s="6"/>
    </row>
    <row r="57" spans="1:4" x14ac:dyDescent="0.3">
      <c r="A57" s="4" t="s">
        <v>100</v>
      </c>
      <c r="B57" s="6" t="s">
        <v>270</v>
      </c>
      <c r="C57" s="6" t="s">
        <v>332</v>
      </c>
      <c r="D57" s="6"/>
    </row>
    <row r="58" spans="1:4" x14ac:dyDescent="0.3">
      <c r="A58" s="4" t="s">
        <v>102</v>
      </c>
      <c r="B58" s="6" t="s">
        <v>357</v>
      </c>
      <c r="C58" s="6" t="s">
        <v>356</v>
      </c>
      <c r="D58" s="6"/>
    </row>
    <row r="59" spans="1:4" x14ac:dyDescent="0.3">
      <c r="A59" s="4" t="s">
        <v>104</v>
      </c>
      <c r="B59" s="6" t="s">
        <v>358</v>
      </c>
      <c r="C59" s="6" t="s">
        <v>61</v>
      </c>
      <c r="D59" s="6"/>
    </row>
    <row r="60" spans="1:4" x14ac:dyDescent="0.3">
      <c r="A60" s="4" t="s">
        <v>106</v>
      </c>
      <c r="B60" s="6" t="s">
        <v>271</v>
      </c>
      <c r="C60" s="6" t="s">
        <v>58</v>
      </c>
      <c r="D60" s="6"/>
    </row>
    <row r="61" spans="1:4" x14ac:dyDescent="0.3">
      <c r="A61" s="4" t="s">
        <v>108</v>
      </c>
      <c r="B61" s="6" t="s">
        <v>359</v>
      </c>
      <c r="C61" s="6" t="s">
        <v>33</v>
      </c>
      <c r="D61" s="6"/>
    </row>
    <row r="62" spans="1:4" x14ac:dyDescent="0.3">
      <c r="A62" s="4" t="s">
        <v>111</v>
      </c>
      <c r="B62" s="6" t="s">
        <v>360</v>
      </c>
      <c r="C62" s="6" t="s">
        <v>332</v>
      </c>
      <c r="D62" s="6"/>
    </row>
    <row r="63" spans="1:4" x14ac:dyDescent="0.3">
      <c r="A63" s="4" t="s">
        <v>114</v>
      </c>
      <c r="B63" s="6" t="s">
        <v>361</v>
      </c>
      <c r="C63" s="6" t="s">
        <v>38</v>
      </c>
      <c r="D63" s="6"/>
    </row>
    <row r="64" spans="1:4" x14ac:dyDescent="0.3">
      <c r="A64" s="4" t="s">
        <v>116</v>
      </c>
      <c r="B64" s="6" t="s">
        <v>362</v>
      </c>
      <c r="C64" s="6" t="s">
        <v>75</v>
      </c>
      <c r="D64" s="6"/>
    </row>
    <row r="65" spans="1:4" x14ac:dyDescent="0.3">
      <c r="A65" s="4" t="s">
        <v>118</v>
      </c>
      <c r="B65" s="6" t="s">
        <v>119</v>
      </c>
      <c r="C65" s="6" t="s">
        <v>75</v>
      </c>
      <c r="D65" s="6"/>
    </row>
    <row r="66" spans="1:4" x14ac:dyDescent="0.3">
      <c r="A66" s="4" t="s">
        <v>122</v>
      </c>
      <c r="B66" s="6" t="s">
        <v>363</v>
      </c>
      <c r="C66" s="6" t="s">
        <v>17</v>
      </c>
      <c r="D66" s="6"/>
    </row>
    <row r="67" spans="1:4" x14ac:dyDescent="0.3">
      <c r="A67" s="4" t="s">
        <v>124</v>
      </c>
      <c r="B67" s="6" t="s">
        <v>364</v>
      </c>
      <c r="C67" s="6" t="s">
        <v>110</v>
      </c>
      <c r="D67" s="6"/>
    </row>
    <row r="68" spans="1:4" x14ac:dyDescent="0.3">
      <c r="A68" s="4" t="s">
        <v>132</v>
      </c>
      <c r="B68" s="6" t="s">
        <v>365</v>
      </c>
      <c r="C68" s="6" t="s">
        <v>366</v>
      </c>
      <c r="D68" s="6"/>
    </row>
    <row r="69" spans="1:4" x14ac:dyDescent="0.3">
      <c r="A69" s="4" t="s">
        <v>135</v>
      </c>
      <c r="B69" s="6" t="s">
        <v>367</v>
      </c>
      <c r="C69" s="6" t="s">
        <v>368</v>
      </c>
      <c r="D69" s="6"/>
    </row>
    <row r="70" spans="1:4" x14ac:dyDescent="0.3">
      <c r="A70" s="4" t="s">
        <v>138</v>
      </c>
      <c r="B70" s="6" t="s">
        <v>139</v>
      </c>
      <c r="C70" s="6" t="s">
        <v>369</v>
      </c>
      <c r="D70" s="6"/>
    </row>
    <row r="71" spans="1:4" x14ac:dyDescent="0.3">
      <c r="A71" s="4" t="s">
        <v>142</v>
      </c>
      <c r="B71" s="6" t="s">
        <v>370</v>
      </c>
      <c r="C71" s="6" t="s">
        <v>212</v>
      </c>
      <c r="D71" s="6"/>
    </row>
    <row r="72" spans="1:4" x14ac:dyDescent="0.3">
      <c r="A72" s="4" t="s">
        <v>144</v>
      </c>
      <c r="B72" s="6" t="s">
        <v>371</v>
      </c>
      <c r="C72" s="6" t="s">
        <v>354</v>
      </c>
      <c r="D72" s="6"/>
    </row>
    <row r="73" spans="1:4" x14ac:dyDescent="0.3">
      <c r="A73" s="4" t="s">
        <v>146</v>
      </c>
      <c r="B73" s="6" t="s">
        <v>288</v>
      </c>
      <c r="C73" s="6" t="s">
        <v>354</v>
      </c>
      <c r="D73" s="6"/>
    </row>
    <row r="74" spans="1:4" x14ac:dyDescent="0.3">
      <c r="A74" s="4" t="s">
        <v>148</v>
      </c>
      <c r="B74" s="6" t="s">
        <v>372</v>
      </c>
      <c r="C74" s="6" t="s">
        <v>373</v>
      </c>
      <c r="D74" s="6"/>
    </row>
    <row r="75" spans="1:4" x14ac:dyDescent="0.3">
      <c r="A75" s="4" t="s">
        <v>151</v>
      </c>
      <c r="B75" s="6" t="s">
        <v>374</v>
      </c>
      <c r="C75" s="6" t="s">
        <v>82</v>
      </c>
      <c r="D75" s="6"/>
    </row>
    <row r="76" spans="1:4" x14ac:dyDescent="0.3">
      <c r="A76" s="4" t="s">
        <v>153</v>
      </c>
      <c r="B76" s="6" t="s">
        <v>375</v>
      </c>
      <c r="C76" s="6" t="s">
        <v>150</v>
      </c>
      <c r="D76" s="6"/>
    </row>
    <row r="77" spans="1:4" x14ac:dyDescent="0.3">
      <c r="A77" s="4" t="s">
        <v>155</v>
      </c>
      <c r="B77" s="6" t="s">
        <v>293</v>
      </c>
      <c r="C77" s="6" t="s">
        <v>38</v>
      </c>
      <c r="D77" s="6"/>
    </row>
    <row r="78" spans="1:4" x14ac:dyDescent="0.3">
      <c r="A78" s="4" t="s">
        <v>157</v>
      </c>
      <c r="B78" s="6" t="s">
        <v>376</v>
      </c>
      <c r="C78" s="6" t="s">
        <v>224</v>
      </c>
      <c r="D78" s="6"/>
    </row>
    <row r="79" spans="1:4" x14ac:dyDescent="0.3">
      <c r="A79" s="4" t="s">
        <v>159</v>
      </c>
      <c r="B79" s="6" t="s">
        <v>377</v>
      </c>
      <c r="C79" s="6" t="s">
        <v>33</v>
      </c>
      <c r="D79" s="6"/>
    </row>
    <row r="80" spans="1:4" x14ac:dyDescent="0.3">
      <c r="A80" s="4" t="s">
        <v>161</v>
      </c>
      <c r="B80" s="6" t="s">
        <v>378</v>
      </c>
      <c r="C80" s="6" t="s">
        <v>379</v>
      </c>
      <c r="D80" s="6"/>
    </row>
    <row r="81" spans="1:4" x14ac:dyDescent="0.3">
      <c r="A81" s="4" t="s">
        <v>164</v>
      </c>
      <c r="B81" s="6" t="s">
        <v>380</v>
      </c>
      <c r="C81" s="6" t="s">
        <v>99</v>
      </c>
      <c r="D81" s="6"/>
    </row>
    <row r="82" spans="1:4" x14ac:dyDescent="0.3">
      <c r="A82" s="4" t="s">
        <v>166</v>
      </c>
      <c r="B82" s="6" t="s">
        <v>381</v>
      </c>
      <c r="C82" s="6" t="s">
        <v>17</v>
      </c>
      <c r="D82" s="6"/>
    </row>
    <row r="83" spans="1:4" x14ac:dyDescent="0.3">
      <c r="A83" s="4" t="s">
        <v>170</v>
      </c>
      <c r="B83" s="6" t="s">
        <v>382</v>
      </c>
      <c r="C83" s="6" t="s">
        <v>383</v>
      </c>
      <c r="D83" s="6"/>
    </row>
    <row r="84" spans="1:4" x14ac:dyDescent="0.3">
      <c r="A84" s="4" t="s">
        <v>172</v>
      </c>
      <c r="B84" s="6" t="s">
        <v>384</v>
      </c>
      <c r="C84" s="6" t="s">
        <v>75</v>
      </c>
      <c r="D84" s="6"/>
    </row>
    <row r="85" spans="1:4" x14ac:dyDescent="0.3">
      <c r="A85" s="4" t="s">
        <v>176</v>
      </c>
      <c r="B85" s="6" t="s">
        <v>177</v>
      </c>
      <c r="C85" s="6" t="s">
        <v>58</v>
      </c>
      <c r="D85" s="6"/>
    </row>
    <row r="86" spans="1:4" x14ac:dyDescent="0.3">
      <c r="A86" s="4" t="s">
        <v>178</v>
      </c>
      <c r="B86" s="6" t="s">
        <v>385</v>
      </c>
      <c r="C86" s="6" t="s">
        <v>75</v>
      </c>
      <c r="D86" s="6"/>
    </row>
    <row r="87" spans="1:4" x14ac:dyDescent="0.3">
      <c r="A87" s="4" t="s">
        <v>180</v>
      </c>
      <c r="B87" s="6" t="s">
        <v>301</v>
      </c>
      <c r="C87" s="6" t="s">
        <v>46</v>
      </c>
      <c r="D87" s="6"/>
    </row>
    <row r="88" spans="1:4" x14ac:dyDescent="0.3">
      <c r="A88" s="4" t="s">
        <v>182</v>
      </c>
      <c r="B88" s="6" t="s">
        <v>303</v>
      </c>
      <c r="C88" s="6" t="s">
        <v>75</v>
      </c>
      <c r="D88" s="6"/>
    </row>
    <row r="89" spans="1:4" x14ac:dyDescent="0.3">
      <c r="A89" s="4" t="s">
        <v>184</v>
      </c>
      <c r="B89" s="6" t="s">
        <v>185</v>
      </c>
      <c r="C89" s="6" t="s">
        <v>23</v>
      </c>
      <c r="D89" s="6"/>
    </row>
    <row r="90" spans="1:4" x14ac:dyDescent="0.3">
      <c r="A90" s="4" t="s">
        <v>187</v>
      </c>
      <c r="B90" s="6" t="s">
        <v>386</v>
      </c>
      <c r="C90" s="6" t="s">
        <v>17</v>
      </c>
      <c r="D90" s="6"/>
    </row>
    <row r="91" spans="1:4" x14ac:dyDescent="0.3">
      <c r="A91" s="4" t="s">
        <v>191</v>
      </c>
      <c r="B91" s="6" t="s">
        <v>387</v>
      </c>
      <c r="C91" s="6" t="s">
        <v>75</v>
      </c>
      <c r="D91" s="6"/>
    </row>
    <row r="92" spans="1:4" x14ac:dyDescent="0.3">
      <c r="A92" s="4" t="s">
        <v>193</v>
      </c>
      <c r="B92" s="6" t="s">
        <v>388</v>
      </c>
      <c r="C92" s="6" t="s">
        <v>38</v>
      </c>
      <c r="D92" s="6"/>
    </row>
    <row r="93" spans="1:4" x14ac:dyDescent="0.3">
      <c r="A93" s="4" t="s">
        <v>197</v>
      </c>
      <c r="B93" s="6" t="s">
        <v>198</v>
      </c>
      <c r="C93" s="6" t="s">
        <v>46</v>
      </c>
      <c r="D93" s="6"/>
    </row>
    <row r="94" spans="1:4" x14ac:dyDescent="0.3">
      <c r="A94" s="4" t="s">
        <v>204</v>
      </c>
      <c r="B94" s="6" t="s">
        <v>310</v>
      </c>
      <c r="C94" s="6" t="s">
        <v>17</v>
      </c>
      <c r="D94" s="6"/>
    </row>
    <row r="95" spans="1:4" x14ac:dyDescent="0.3">
      <c r="A95" s="4" t="s">
        <v>201</v>
      </c>
      <c r="B95" s="6" t="s">
        <v>310</v>
      </c>
      <c r="C95" s="6" t="s">
        <v>17</v>
      </c>
      <c r="D95" s="6"/>
    </row>
    <row r="96" spans="1:4" x14ac:dyDescent="0.3">
      <c r="A96" s="4" t="s">
        <v>126</v>
      </c>
      <c r="B96" s="6" t="s">
        <v>389</v>
      </c>
      <c r="C96" s="6" t="s">
        <v>390</v>
      </c>
      <c r="D96" s="6"/>
    </row>
    <row r="97" spans="1:4" x14ac:dyDescent="0.3">
      <c r="A97" s="4" t="s">
        <v>129</v>
      </c>
      <c r="B97" s="6" t="s">
        <v>391</v>
      </c>
      <c r="C97" s="6" t="s">
        <v>392</v>
      </c>
      <c r="D97" s="6"/>
    </row>
    <row r="98" spans="1:4" x14ac:dyDescent="0.3">
      <c r="A98" s="4" t="s">
        <v>205</v>
      </c>
      <c r="B98" s="6" t="s">
        <v>312</v>
      </c>
      <c r="C98" s="6" t="s">
        <v>61</v>
      </c>
      <c r="D98" s="6"/>
    </row>
    <row r="99" spans="1:4" x14ac:dyDescent="0.3">
      <c r="A99" s="4" t="s">
        <v>130</v>
      </c>
      <c r="B99" s="6" t="s">
        <v>393</v>
      </c>
      <c r="C99" s="6" t="s">
        <v>394</v>
      </c>
      <c r="D99" s="6"/>
    </row>
    <row r="100" spans="1:4" x14ac:dyDescent="0.3">
      <c r="A100" s="4" t="s">
        <v>207</v>
      </c>
      <c r="B100" s="6" t="s">
        <v>208</v>
      </c>
      <c r="C100" s="6" t="s">
        <v>41</v>
      </c>
      <c r="D100" s="6"/>
    </row>
  </sheetData>
  <mergeCells count="1">
    <mergeCell ref="D3:E3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C7AA-3436-4F23-95E4-8DCE095CF94C}">
  <dimension ref="A1:E13"/>
  <sheetViews>
    <sheetView topLeftCell="A11" workbookViewId="0">
      <selection activeCell="B39" sqref="B39"/>
    </sheetView>
  </sheetViews>
  <sheetFormatPr defaultRowHeight="14.4" x14ac:dyDescent="0.3"/>
  <cols>
    <col min="1" max="1" width="19.44140625" customWidth="1"/>
    <col min="2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395</v>
      </c>
    </row>
    <row r="3" spans="1:5" x14ac:dyDescent="0.3">
      <c r="A3" s="3" t="s">
        <v>2</v>
      </c>
      <c r="B3" s="3" t="s">
        <v>412</v>
      </c>
      <c r="C3" s="3" t="s">
        <v>10</v>
      </c>
      <c r="D3" s="36" t="s">
        <v>3</v>
      </c>
      <c r="E3" s="37"/>
    </row>
    <row r="4" spans="1:5" x14ac:dyDescent="0.3">
      <c r="A4" s="4" t="s">
        <v>422</v>
      </c>
      <c r="B4" s="6">
        <v>29.84</v>
      </c>
      <c r="C4" s="6"/>
      <c r="D4" s="5"/>
      <c r="E4" s="6"/>
    </row>
    <row r="5" spans="1:5" x14ac:dyDescent="0.3">
      <c r="A5" s="4" t="s">
        <v>423</v>
      </c>
      <c r="B5" s="6">
        <v>59.6</v>
      </c>
      <c r="C5" s="6"/>
      <c r="D5" s="5"/>
      <c r="E5" s="6"/>
    </row>
    <row r="6" spans="1:5" x14ac:dyDescent="0.3">
      <c r="A6" s="4" t="s">
        <v>415</v>
      </c>
      <c r="B6" s="6">
        <v>21.64</v>
      </c>
      <c r="C6" s="6"/>
      <c r="D6" s="5"/>
      <c r="E6" s="6"/>
    </row>
    <row r="7" spans="1:5" x14ac:dyDescent="0.3">
      <c r="A7" s="4" t="s">
        <v>424</v>
      </c>
      <c r="B7" s="6">
        <v>29</v>
      </c>
      <c r="C7" s="6"/>
      <c r="D7" s="5"/>
      <c r="E7" s="6"/>
    </row>
    <row r="8" spans="1:5" x14ac:dyDescent="0.3">
      <c r="A8" s="4" t="s">
        <v>418</v>
      </c>
      <c r="B8" s="6">
        <v>51.67</v>
      </c>
      <c r="C8" s="6"/>
      <c r="D8" s="5"/>
      <c r="E8" s="6"/>
    </row>
    <row r="9" spans="1:5" x14ac:dyDescent="0.3">
      <c r="A9" s="4" t="s">
        <v>419</v>
      </c>
      <c r="B9" s="6">
        <v>66</v>
      </c>
      <c r="C9" s="6"/>
      <c r="D9" s="5"/>
      <c r="E9" s="6"/>
    </row>
    <row r="10" spans="1:5" x14ac:dyDescent="0.3">
      <c r="A10" s="4" t="s">
        <v>417</v>
      </c>
      <c r="B10" s="6">
        <v>21.12</v>
      </c>
      <c r="C10" s="6"/>
      <c r="D10" s="5"/>
      <c r="E10" s="6"/>
    </row>
    <row r="11" spans="1:5" x14ac:dyDescent="0.3">
      <c r="A11" s="4" t="s">
        <v>413</v>
      </c>
      <c r="B11" s="6">
        <v>19.100000000000001</v>
      </c>
      <c r="C11" s="6"/>
      <c r="D11" s="5"/>
      <c r="E11" s="6"/>
    </row>
    <row r="12" spans="1:5" x14ac:dyDescent="0.3">
      <c r="A12" s="7"/>
      <c r="B12" s="7"/>
      <c r="C12" s="7"/>
      <c r="D12" s="7" t="s">
        <v>6</v>
      </c>
      <c r="E12" s="7">
        <v>75</v>
      </c>
    </row>
    <row r="13" spans="1:5" x14ac:dyDescent="0.3">
      <c r="A13" s="7"/>
      <c r="B13" s="7"/>
      <c r="C13" s="7"/>
      <c r="D13" s="7" t="s">
        <v>7</v>
      </c>
      <c r="E13" s="7"/>
    </row>
  </sheetData>
  <mergeCells count="1">
    <mergeCell ref="D3:E3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"/>
  <sheetViews>
    <sheetView workbookViewId="0">
      <selection activeCell="A2" sqref="A2"/>
    </sheetView>
  </sheetViews>
  <sheetFormatPr defaultRowHeight="14.4" x14ac:dyDescent="0.3"/>
  <cols>
    <col min="1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395</v>
      </c>
    </row>
    <row r="3" spans="1:5" x14ac:dyDescent="0.3">
      <c r="A3" s="3" t="s">
        <v>2</v>
      </c>
      <c r="B3" s="3" t="s">
        <v>9</v>
      </c>
      <c r="C3" s="3" t="s">
        <v>10</v>
      </c>
      <c r="D3" s="36" t="s">
        <v>3</v>
      </c>
      <c r="E3" s="37"/>
    </row>
    <row r="4" spans="1:5" x14ac:dyDescent="0.3">
      <c r="A4" s="4" t="s">
        <v>11</v>
      </c>
      <c r="B4" s="6">
        <v>29.84</v>
      </c>
      <c r="C4" s="6">
        <v>2238</v>
      </c>
      <c r="D4" s="5">
        <v>1</v>
      </c>
      <c r="E4" s="6">
        <v>75</v>
      </c>
    </row>
    <row r="5" spans="1:5" x14ac:dyDescent="0.3">
      <c r="A5" s="7"/>
      <c r="B5" s="7"/>
      <c r="C5" s="7"/>
      <c r="D5" s="7" t="s">
        <v>6</v>
      </c>
      <c r="E5" s="7">
        <v>75</v>
      </c>
    </row>
    <row r="6" spans="1:5" x14ac:dyDescent="0.3">
      <c r="A6" s="7"/>
      <c r="B6" s="7"/>
      <c r="C6" s="7"/>
      <c r="D6" s="7" t="s">
        <v>7</v>
      </c>
      <c r="E6" s="7">
        <v>12</v>
      </c>
    </row>
    <row r="25" spans="1:4" x14ac:dyDescent="0.3">
      <c r="A25" s="3" t="s">
        <v>12</v>
      </c>
      <c r="B25" s="3" t="s">
        <v>13</v>
      </c>
      <c r="C25" s="3"/>
      <c r="D25" s="3" t="s">
        <v>14</v>
      </c>
    </row>
    <row r="26" spans="1:4" x14ac:dyDescent="0.3">
      <c r="A26" s="4" t="s">
        <v>15</v>
      </c>
      <c r="B26" s="6" t="s">
        <v>237</v>
      </c>
      <c r="C26" s="6" t="s">
        <v>17</v>
      </c>
      <c r="D26" s="6"/>
    </row>
    <row r="27" spans="1:4" x14ac:dyDescent="0.3">
      <c r="A27" s="4" t="s">
        <v>18</v>
      </c>
      <c r="B27" s="6" t="s">
        <v>324</v>
      </c>
      <c r="C27" s="6" t="s">
        <v>354</v>
      </c>
      <c r="D27" s="6"/>
    </row>
    <row r="28" spans="1:4" x14ac:dyDescent="0.3">
      <c r="A28" s="4" t="s">
        <v>21</v>
      </c>
      <c r="B28" s="6" t="s">
        <v>325</v>
      </c>
      <c r="C28" s="6" t="s">
        <v>58</v>
      </c>
      <c r="D28" s="6"/>
    </row>
    <row r="29" spans="1:4" x14ac:dyDescent="0.3">
      <c r="A29" s="4" t="s">
        <v>24</v>
      </c>
      <c r="B29" s="6" t="s">
        <v>326</v>
      </c>
      <c r="C29" s="6" t="s">
        <v>17</v>
      </c>
      <c r="D29" s="6"/>
    </row>
    <row r="30" spans="1:4" x14ac:dyDescent="0.3">
      <c r="A30" s="4" t="s">
        <v>26</v>
      </c>
      <c r="B30" s="6" t="s">
        <v>246</v>
      </c>
      <c r="C30" s="6" t="s">
        <v>332</v>
      </c>
      <c r="D30" s="6"/>
    </row>
    <row r="31" spans="1:4" x14ac:dyDescent="0.3">
      <c r="A31" s="4" t="s">
        <v>28</v>
      </c>
      <c r="B31" s="6" t="s">
        <v>327</v>
      </c>
      <c r="C31" s="6" t="s">
        <v>128</v>
      </c>
      <c r="D31" s="6"/>
    </row>
    <row r="32" spans="1:4" x14ac:dyDescent="0.3">
      <c r="A32" s="4" t="s">
        <v>31</v>
      </c>
      <c r="B32" s="6" t="s">
        <v>328</v>
      </c>
      <c r="C32" s="6" t="s">
        <v>41</v>
      </c>
      <c r="D32" s="6"/>
    </row>
    <row r="33" spans="1:4" x14ac:dyDescent="0.3">
      <c r="A33" s="4" t="s">
        <v>34</v>
      </c>
      <c r="B33" s="6" t="s">
        <v>329</v>
      </c>
      <c r="C33" s="6" t="s">
        <v>38</v>
      </c>
      <c r="D33" s="6"/>
    </row>
    <row r="34" spans="1:4" x14ac:dyDescent="0.3">
      <c r="A34" s="4" t="s">
        <v>36</v>
      </c>
      <c r="B34" s="6" t="s">
        <v>331</v>
      </c>
      <c r="C34" s="6" t="s">
        <v>38</v>
      </c>
      <c r="D34" s="6"/>
    </row>
    <row r="35" spans="1:4" x14ac:dyDescent="0.3">
      <c r="A35" s="4" t="s">
        <v>39</v>
      </c>
      <c r="B35" s="6" t="s">
        <v>333</v>
      </c>
      <c r="C35" s="6" t="s">
        <v>396</v>
      </c>
      <c r="D35" s="6"/>
    </row>
    <row r="36" spans="1:4" x14ac:dyDescent="0.3">
      <c r="A36" s="4" t="s">
        <v>42</v>
      </c>
      <c r="B36" s="6" t="s">
        <v>334</v>
      </c>
      <c r="C36" s="6" t="s">
        <v>282</v>
      </c>
      <c r="D36" s="6"/>
    </row>
    <row r="37" spans="1:4" x14ac:dyDescent="0.3">
      <c r="A37" s="4" t="s">
        <v>44</v>
      </c>
      <c r="B37" s="6" t="s">
        <v>335</v>
      </c>
      <c r="C37" s="6" t="s">
        <v>61</v>
      </c>
      <c r="D37" s="6"/>
    </row>
    <row r="38" spans="1:4" x14ac:dyDescent="0.3">
      <c r="A38" s="4" t="s">
        <v>49</v>
      </c>
      <c r="B38" s="6" t="s">
        <v>336</v>
      </c>
      <c r="C38" s="6" t="s">
        <v>58</v>
      </c>
      <c r="D38" s="6"/>
    </row>
    <row r="39" spans="1:4" x14ac:dyDescent="0.3">
      <c r="A39" s="4" t="s">
        <v>52</v>
      </c>
      <c r="B39" s="6" t="s">
        <v>337</v>
      </c>
      <c r="C39" s="6" t="s">
        <v>58</v>
      </c>
      <c r="D39" s="6"/>
    </row>
    <row r="40" spans="1:4" x14ac:dyDescent="0.3">
      <c r="A40" s="4" t="s">
        <v>54</v>
      </c>
      <c r="B40" s="6" t="s">
        <v>338</v>
      </c>
      <c r="C40" s="6" t="s">
        <v>41</v>
      </c>
      <c r="D40" s="6"/>
    </row>
    <row r="41" spans="1:4" x14ac:dyDescent="0.3">
      <c r="A41" s="4" t="s">
        <v>56</v>
      </c>
      <c r="B41" s="6" t="s">
        <v>339</v>
      </c>
      <c r="C41" s="6" t="s">
        <v>99</v>
      </c>
      <c r="D41" s="6"/>
    </row>
    <row r="42" spans="1:4" x14ac:dyDescent="0.3">
      <c r="A42" s="4" t="s">
        <v>62</v>
      </c>
      <c r="B42" s="6" t="s">
        <v>340</v>
      </c>
      <c r="C42" s="6" t="s">
        <v>41</v>
      </c>
      <c r="D42" s="6"/>
    </row>
    <row r="43" spans="1:4" x14ac:dyDescent="0.3">
      <c r="A43" s="4" t="s">
        <v>65</v>
      </c>
      <c r="B43" s="6" t="s">
        <v>341</v>
      </c>
      <c r="C43" s="6" t="s">
        <v>41</v>
      </c>
      <c r="D43" s="6"/>
    </row>
    <row r="44" spans="1:4" x14ac:dyDescent="0.3">
      <c r="A44" s="4" t="s">
        <v>67</v>
      </c>
      <c r="B44" s="6" t="s">
        <v>343</v>
      </c>
      <c r="C44" s="6" t="s">
        <v>17</v>
      </c>
      <c r="D44" s="6"/>
    </row>
    <row r="45" spans="1:4" x14ac:dyDescent="0.3">
      <c r="A45" s="4" t="s">
        <v>71</v>
      </c>
      <c r="B45" s="6" t="s">
        <v>344</v>
      </c>
      <c r="C45" s="6" t="s">
        <v>38</v>
      </c>
      <c r="D45" s="6"/>
    </row>
    <row r="46" spans="1:4" x14ac:dyDescent="0.3">
      <c r="A46" s="4" t="s">
        <v>73</v>
      </c>
      <c r="B46" s="6" t="s">
        <v>345</v>
      </c>
      <c r="C46" s="6" t="s">
        <v>23</v>
      </c>
      <c r="D46" s="6"/>
    </row>
    <row r="47" spans="1:4" x14ac:dyDescent="0.3">
      <c r="A47" s="4" t="s">
        <v>76</v>
      </c>
      <c r="B47" s="6" t="s">
        <v>346</v>
      </c>
      <c r="C47" s="6" t="s">
        <v>397</v>
      </c>
      <c r="D47" s="6"/>
    </row>
    <row r="48" spans="1:4" x14ac:dyDescent="0.3">
      <c r="A48" s="4" t="s">
        <v>78</v>
      </c>
      <c r="B48" s="6" t="s">
        <v>348</v>
      </c>
      <c r="C48" s="6" t="s">
        <v>38</v>
      </c>
      <c r="D48" s="6"/>
    </row>
    <row r="49" spans="1:4" x14ac:dyDescent="0.3">
      <c r="A49" s="4" t="s">
        <v>80</v>
      </c>
      <c r="B49" s="6" t="s">
        <v>349</v>
      </c>
      <c r="C49" s="6" t="s">
        <v>41</v>
      </c>
      <c r="D49" s="6"/>
    </row>
    <row r="50" spans="1:4" x14ac:dyDescent="0.3">
      <c r="A50" s="4" t="s">
        <v>83</v>
      </c>
      <c r="B50" s="6" t="s">
        <v>350</v>
      </c>
      <c r="C50" s="6" t="s">
        <v>38</v>
      </c>
      <c r="D50" s="6"/>
    </row>
    <row r="51" spans="1:4" x14ac:dyDescent="0.3">
      <c r="A51" s="4" t="s">
        <v>85</v>
      </c>
      <c r="B51" s="6" t="s">
        <v>351</v>
      </c>
      <c r="C51" s="6" t="s">
        <v>58</v>
      </c>
      <c r="D51" s="6"/>
    </row>
    <row r="52" spans="1:4" x14ac:dyDescent="0.3">
      <c r="A52" s="4" t="s">
        <v>87</v>
      </c>
      <c r="B52" s="6" t="s">
        <v>352</v>
      </c>
      <c r="C52" s="6" t="s">
        <v>58</v>
      </c>
      <c r="D52" s="6"/>
    </row>
    <row r="53" spans="1:4" x14ac:dyDescent="0.3">
      <c r="A53" s="4" t="s">
        <v>91</v>
      </c>
      <c r="B53" s="6" t="s">
        <v>265</v>
      </c>
      <c r="C53" s="6" t="s">
        <v>17</v>
      </c>
      <c r="D53" s="6"/>
    </row>
    <row r="54" spans="1:4" x14ac:dyDescent="0.3">
      <c r="A54" s="4" t="s">
        <v>93</v>
      </c>
      <c r="B54" s="6" t="s">
        <v>353</v>
      </c>
      <c r="C54" s="6" t="s">
        <v>58</v>
      </c>
      <c r="D54" s="6"/>
    </row>
    <row r="55" spans="1:4" x14ac:dyDescent="0.3">
      <c r="A55" s="4" t="s">
        <v>95</v>
      </c>
      <c r="B55" s="6" t="s">
        <v>267</v>
      </c>
      <c r="C55" s="6" t="s">
        <v>354</v>
      </c>
      <c r="D55" s="6"/>
    </row>
    <row r="56" spans="1:4" x14ac:dyDescent="0.3">
      <c r="A56" s="4" t="s">
        <v>97</v>
      </c>
      <c r="B56" s="6" t="s">
        <v>355</v>
      </c>
      <c r="C56" s="6" t="s">
        <v>20</v>
      </c>
      <c r="D56" s="6"/>
    </row>
    <row r="57" spans="1:4" x14ac:dyDescent="0.3">
      <c r="A57" s="4" t="s">
        <v>100</v>
      </c>
      <c r="B57" s="6" t="s">
        <v>270</v>
      </c>
      <c r="C57" s="6" t="s">
        <v>332</v>
      </c>
      <c r="D57" s="6"/>
    </row>
    <row r="58" spans="1:4" x14ac:dyDescent="0.3">
      <c r="A58" s="4" t="s">
        <v>102</v>
      </c>
      <c r="B58" s="6" t="s">
        <v>357</v>
      </c>
      <c r="C58" s="6" t="s">
        <v>131</v>
      </c>
      <c r="D58" s="6"/>
    </row>
    <row r="59" spans="1:4" x14ac:dyDescent="0.3">
      <c r="A59" s="4" t="s">
        <v>104</v>
      </c>
      <c r="B59" s="6" t="s">
        <v>358</v>
      </c>
      <c r="C59" s="6" t="s">
        <v>46</v>
      </c>
      <c r="D59" s="6"/>
    </row>
    <row r="60" spans="1:4" x14ac:dyDescent="0.3">
      <c r="A60" s="4" t="s">
        <v>106</v>
      </c>
      <c r="B60" s="6" t="s">
        <v>271</v>
      </c>
      <c r="C60" s="6" t="s">
        <v>33</v>
      </c>
      <c r="D60" s="6"/>
    </row>
    <row r="61" spans="1:4" x14ac:dyDescent="0.3">
      <c r="A61" s="4" t="s">
        <v>108</v>
      </c>
      <c r="B61" s="6" t="s">
        <v>359</v>
      </c>
      <c r="C61" s="6" t="s">
        <v>46</v>
      </c>
      <c r="D61" s="6"/>
    </row>
    <row r="62" spans="1:4" x14ac:dyDescent="0.3">
      <c r="A62" s="4" t="s">
        <v>111</v>
      </c>
      <c r="B62" s="6" t="s">
        <v>360</v>
      </c>
      <c r="C62" s="6" t="s">
        <v>61</v>
      </c>
      <c r="D62" s="6"/>
    </row>
    <row r="63" spans="1:4" x14ac:dyDescent="0.3">
      <c r="A63" s="4" t="s">
        <v>114</v>
      </c>
      <c r="B63" s="6" t="s">
        <v>361</v>
      </c>
      <c r="C63" s="6" t="s">
        <v>221</v>
      </c>
      <c r="D63" s="6"/>
    </row>
    <row r="64" spans="1:4" x14ac:dyDescent="0.3">
      <c r="A64" s="4" t="s">
        <v>116</v>
      </c>
      <c r="B64" s="6" t="s">
        <v>362</v>
      </c>
      <c r="C64" s="6" t="s">
        <v>58</v>
      </c>
      <c r="D64" s="6"/>
    </row>
    <row r="65" spans="1:4" x14ac:dyDescent="0.3">
      <c r="A65" s="4" t="s">
        <v>118</v>
      </c>
      <c r="B65" s="6" t="s">
        <v>119</v>
      </c>
      <c r="C65" s="6" t="s">
        <v>33</v>
      </c>
      <c r="D65" s="6"/>
    </row>
    <row r="66" spans="1:4" x14ac:dyDescent="0.3">
      <c r="A66" s="4" t="s">
        <v>122</v>
      </c>
      <c r="B66" s="6" t="s">
        <v>363</v>
      </c>
      <c r="C66" s="6" t="s">
        <v>17</v>
      </c>
      <c r="D66" s="6"/>
    </row>
    <row r="67" spans="1:4" x14ac:dyDescent="0.3">
      <c r="A67" s="4" t="s">
        <v>124</v>
      </c>
      <c r="B67" s="6" t="s">
        <v>364</v>
      </c>
      <c r="C67" s="6" t="s">
        <v>110</v>
      </c>
      <c r="D67" s="6"/>
    </row>
    <row r="68" spans="1:4" x14ac:dyDescent="0.3">
      <c r="A68" s="4" t="s">
        <v>132</v>
      </c>
      <c r="B68" s="6" t="s">
        <v>365</v>
      </c>
      <c r="C68" s="6" t="s">
        <v>225</v>
      </c>
      <c r="D68" s="6"/>
    </row>
    <row r="69" spans="1:4" x14ac:dyDescent="0.3">
      <c r="A69" s="4" t="s">
        <v>135</v>
      </c>
      <c r="B69" s="6" t="s">
        <v>367</v>
      </c>
      <c r="C69" s="6" t="s">
        <v>332</v>
      </c>
      <c r="D69" s="6"/>
    </row>
    <row r="70" spans="1:4" x14ac:dyDescent="0.3">
      <c r="A70" s="4" t="s">
        <v>138</v>
      </c>
      <c r="B70" s="6" t="s">
        <v>139</v>
      </c>
      <c r="C70" s="6" t="s">
        <v>369</v>
      </c>
      <c r="D70" s="6"/>
    </row>
    <row r="71" spans="1:4" x14ac:dyDescent="0.3">
      <c r="A71" s="4" t="s">
        <v>142</v>
      </c>
      <c r="B71" s="6" t="s">
        <v>370</v>
      </c>
      <c r="C71" s="6" t="s">
        <v>150</v>
      </c>
      <c r="D71" s="6"/>
    </row>
    <row r="72" spans="1:4" x14ac:dyDescent="0.3">
      <c r="A72" s="4" t="s">
        <v>144</v>
      </c>
      <c r="B72" s="6" t="s">
        <v>371</v>
      </c>
      <c r="C72" s="6" t="s">
        <v>17</v>
      </c>
      <c r="D72" s="6"/>
    </row>
    <row r="73" spans="1:4" x14ac:dyDescent="0.3">
      <c r="A73" s="4" t="s">
        <v>146</v>
      </c>
      <c r="B73" s="6" t="s">
        <v>288</v>
      </c>
      <c r="C73" s="6" t="s">
        <v>398</v>
      </c>
      <c r="D73" s="6"/>
    </row>
    <row r="74" spans="1:4" x14ac:dyDescent="0.3">
      <c r="A74" s="4" t="s">
        <v>148</v>
      </c>
      <c r="B74" s="6" t="s">
        <v>372</v>
      </c>
      <c r="C74" s="6" t="s">
        <v>399</v>
      </c>
      <c r="D74" s="6"/>
    </row>
    <row r="75" spans="1:4" x14ac:dyDescent="0.3">
      <c r="A75" s="4" t="s">
        <v>151</v>
      </c>
      <c r="B75" s="6" t="s">
        <v>374</v>
      </c>
      <c r="C75" s="6" t="s">
        <v>330</v>
      </c>
      <c r="D75" s="6"/>
    </row>
    <row r="76" spans="1:4" x14ac:dyDescent="0.3">
      <c r="A76" s="4" t="s">
        <v>153</v>
      </c>
      <c r="B76" s="6" t="s">
        <v>375</v>
      </c>
      <c r="C76" s="6" t="s">
        <v>212</v>
      </c>
      <c r="D76" s="6"/>
    </row>
    <row r="77" spans="1:4" x14ac:dyDescent="0.3">
      <c r="A77" s="4" t="s">
        <v>155</v>
      </c>
      <c r="B77" s="6" t="s">
        <v>293</v>
      </c>
      <c r="C77" s="6" t="s">
        <v>38</v>
      </c>
      <c r="D77" s="6"/>
    </row>
    <row r="78" spans="1:4" x14ac:dyDescent="0.3">
      <c r="A78" s="4" t="s">
        <v>157</v>
      </c>
      <c r="B78" s="6" t="s">
        <v>376</v>
      </c>
      <c r="C78" s="6" t="s">
        <v>221</v>
      </c>
      <c r="D78" s="6"/>
    </row>
    <row r="79" spans="1:4" x14ac:dyDescent="0.3">
      <c r="A79" s="4" t="s">
        <v>159</v>
      </c>
      <c r="B79" s="6" t="s">
        <v>377</v>
      </c>
      <c r="C79" s="6" t="s">
        <v>38</v>
      </c>
      <c r="D79" s="6"/>
    </row>
    <row r="80" spans="1:4" x14ac:dyDescent="0.3">
      <c r="A80" s="4" t="s">
        <v>161</v>
      </c>
      <c r="B80" s="6" t="s">
        <v>378</v>
      </c>
      <c r="C80" s="6" t="s">
        <v>400</v>
      </c>
      <c r="D80" s="6"/>
    </row>
    <row r="81" spans="1:4" x14ac:dyDescent="0.3">
      <c r="A81" s="4" t="s">
        <v>164</v>
      </c>
      <c r="B81" s="6" t="s">
        <v>380</v>
      </c>
      <c r="C81" s="6" t="s">
        <v>61</v>
      </c>
      <c r="D81" s="6"/>
    </row>
    <row r="82" spans="1:4" x14ac:dyDescent="0.3">
      <c r="A82" s="4" t="s">
        <v>166</v>
      </c>
      <c r="B82" s="6" t="s">
        <v>381</v>
      </c>
      <c r="C82" s="6" t="s">
        <v>383</v>
      </c>
      <c r="D82" s="6"/>
    </row>
    <row r="83" spans="1:4" x14ac:dyDescent="0.3">
      <c r="A83" s="4" t="s">
        <v>170</v>
      </c>
      <c r="B83" s="6" t="s">
        <v>382</v>
      </c>
      <c r="C83" s="6" t="s">
        <v>342</v>
      </c>
      <c r="D83" s="6"/>
    </row>
    <row r="84" spans="1:4" x14ac:dyDescent="0.3">
      <c r="A84" s="4" t="s">
        <v>172</v>
      </c>
      <c r="B84" s="6" t="s">
        <v>384</v>
      </c>
      <c r="C84" s="6" t="s">
        <v>75</v>
      </c>
      <c r="D84" s="6"/>
    </row>
    <row r="85" spans="1:4" x14ac:dyDescent="0.3">
      <c r="A85" s="4" t="s">
        <v>176</v>
      </c>
      <c r="B85" s="6" t="s">
        <v>177</v>
      </c>
      <c r="C85" s="6" t="s">
        <v>58</v>
      </c>
      <c r="D85" s="6"/>
    </row>
    <row r="86" spans="1:4" x14ac:dyDescent="0.3">
      <c r="A86" s="4" t="s">
        <v>178</v>
      </c>
      <c r="B86" s="6" t="s">
        <v>385</v>
      </c>
      <c r="C86" s="6" t="s">
        <v>17</v>
      </c>
      <c r="D86" s="6"/>
    </row>
    <row r="87" spans="1:4" x14ac:dyDescent="0.3">
      <c r="A87" s="4" t="s">
        <v>180</v>
      </c>
      <c r="B87" s="6" t="s">
        <v>301</v>
      </c>
      <c r="C87" s="6" t="s">
        <v>150</v>
      </c>
      <c r="D87" s="6"/>
    </row>
    <row r="88" spans="1:4" x14ac:dyDescent="0.3">
      <c r="A88" s="4" t="s">
        <v>182</v>
      </c>
      <c r="B88" s="6" t="s">
        <v>303</v>
      </c>
      <c r="C88" s="6" t="s">
        <v>58</v>
      </c>
      <c r="D88" s="6"/>
    </row>
    <row r="89" spans="1:4" x14ac:dyDescent="0.3">
      <c r="A89" s="4" t="s">
        <v>184</v>
      </c>
      <c r="B89" s="6" t="s">
        <v>185</v>
      </c>
      <c r="C89" s="6" t="s">
        <v>23</v>
      </c>
      <c r="D89" s="6"/>
    </row>
    <row r="90" spans="1:4" x14ac:dyDescent="0.3">
      <c r="A90" s="4" t="s">
        <v>187</v>
      </c>
      <c r="B90" s="6" t="s">
        <v>386</v>
      </c>
      <c r="C90" s="6" t="s">
        <v>38</v>
      </c>
      <c r="D90" s="6"/>
    </row>
    <row r="91" spans="1:4" x14ac:dyDescent="0.3">
      <c r="A91" s="4" t="s">
        <v>191</v>
      </c>
      <c r="B91" s="6" t="s">
        <v>387</v>
      </c>
      <c r="C91" s="6" t="s">
        <v>23</v>
      </c>
      <c r="D91" s="6"/>
    </row>
    <row r="92" spans="1:4" x14ac:dyDescent="0.3">
      <c r="A92" s="4" t="s">
        <v>193</v>
      </c>
      <c r="B92" s="6" t="s">
        <v>388</v>
      </c>
      <c r="C92" s="6" t="s">
        <v>33</v>
      </c>
      <c r="D92" s="6"/>
    </row>
    <row r="93" spans="1:4" x14ac:dyDescent="0.3">
      <c r="A93" s="4" t="s">
        <v>197</v>
      </c>
      <c r="B93" s="6" t="s">
        <v>198</v>
      </c>
      <c r="C93" s="6" t="s">
        <v>46</v>
      </c>
      <c r="D93" s="6"/>
    </row>
    <row r="94" spans="1:4" x14ac:dyDescent="0.3">
      <c r="A94" s="4" t="s">
        <v>204</v>
      </c>
      <c r="B94" s="6" t="s">
        <v>310</v>
      </c>
      <c r="C94" s="6" t="s">
        <v>38</v>
      </c>
      <c r="D94" s="6"/>
    </row>
    <row r="95" spans="1:4" x14ac:dyDescent="0.3">
      <c r="A95" s="4" t="s">
        <v>201</v>
      </c>
      <c r="B95" s="6" t="s">
        <v>310</v>
      </c>
      <c r="C95" s="6" t="s">
        <v>33</v>
      </c>
      <c r="D95" s="6"/>
    </row>
    <row r="96" spans="1:4" x14ac:dyDescent="0.3">
      <c r="A96" s="4" t="s">
        <v>126</v>
      </c>
      <c r="B96" s="6" t="s">
        <v>389</v>
      </c>
      <c r="C96" s="6" t="s">
        <v>163</v>
      </c>
      <c r="D96" s="6"/>
    </row>
    <row r="97" spans="1:4" x14ac:dyDescent="0.3">
      <c r="A97" s="4" t="s">
        <v>129</v>
      </c>
      <c r="B97" s="6" t="s">
        <v>391</v>
      </c>
      <c r="C97" s="6" t="s">
        <v>401</v>
      </c>
      <c r="D97" s="6"/>
    </row>
    <row r="98" spans="1:4" x14ac:dyDescent="0.3">
      <c r="A98" s="4" t="s">
        <v>205</v>
      </c>
      <c r="B98" s="6" t="s">
        <v>312</v>
      </c>
      <c r="C98" s="6" t="s">
        <v>224</v>
      </c>
      <c r="D98" s="6"/>
    </row>
    <row r="99" spans="1:4" x14ac:dyDescent="0.3">
      <c r="A99" s="4" t="s">
        <v>130</v>
      </c>
      <c r="B99" s="6" t="s">
        <v>393</v>
      </c>
      <c r="C99" s="6" t="s">
        <v>398</v>
      </c>
      <c r="D99" s="6"/>
    </row>
    <row r="100" spans="1:4" x14ac:dyDescent="0.3">
      <c r="A100" s="4" t="s">
        <v>207</v>
      </c>
      <c r="B100" s="6" t="s">
        <v>208</v>
      </c>
      <c r="C100" s="6" t="s">
        <v>41</v>
      </c>
      <c r="D100" s="6"/>
    </row>
  </sheetData>
  <mergeCells count="1">
    <mergeCell ref="D3:E3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B4C2-C8A3-4C0A-A351-D2B30E69F76A}">
  <dimension ref="A1:E13"/>
  <sheetViews>
    <sheetView topLeftCell="A6" workbookViewId="0">
      <selection activeCell="I30" sqref="I30"/>
    </sheetView>
  </sheetViews>
  <sheetFormatPr defaultRowHeight="14.4" x14ac:dyDescent="0.3"/>
  <cols>
    <col min="1" max="1" width="19.44140625" customWidth="1"/>
    <col min="2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402</v>
      </c>
    </row>
    <row r="3" spans="1:5" x14ac:dyDescent="0.3">
      <c r="A3" s="3" t="s">
        <v>2</v>
      </c>
      <c r="B3" s="3" t="s">
        <v>412</v>
      </c>
      <c r="C3" s="3" t="s">
        <v>10</v>
      </c>
      <c r="D3" s="36" t="s">
        <v>3</v>
      </c>
      <c r="E3" s="37"/>
    </row>
    <row r="4" spans="1:5" x14ac:dyDescent="0.3">
      <c r="A4" s="4" t="s">
        <v>422</v>
      </c>
      <c r="B4" s="6">
        <v>26.12</v>
      </c>
      <c r="C4" s="6"/>
      <c r="D4" s="5"/>
      <c r="E4" s="6"/>
    </row>
    <row r="5" spans="1:5" x14ac:dyDescent="0.3">
      <c r="A5" s="4" t="s">
        <v>423</v>
      </c>
      <c r="B5" s="6">
        <v>65.2</v>
      </c>
      <c r="C5" s="6"/>
      <c r="D5" s="5"/>
      <c r="E5" s="6"/>
    </row>
    <row r="6" spans="1:5" x14ac:dyDescent="0.3">
      <c r="A6" s="4" t="s">
        <v>415</v>
      </c>
      <c r="B6" s="6">
        <v>31.64</v>
      </c>
      <c r="C6" s="6"/>
      <c r="D6" s="5"/>
      <c r="E6" s="6"/>
    </row>
    <row r="7" spans="1:5" x14ac:dyDescent="0.3">
      <c r="A7" s="4" t="s">
        <v>424</v>
      </c>
      <c r="B7" s="6">
        <v>16.850000000000001</v>
      </c>
      <c r="C7" s="6"/>
      <c r="D7" s="5"/>
      <c r="E7" s="6"/>
    </row>
    <row r="8" spans="1:5" x14ac:dyDescent="0.3">
      <c r="A8" s="4" t="s">
        <v>418</v>
      </c>
      <c r="B8" s="6">
        <v>10</v>
      </c>
      <c r="C8" s="6"/>
      <c r="D8" s="5"/>
      <c r="E8" s="6"/>
    </row>
    <row r="9" spans="1:5" x14ac:dyDescent="0.3">
      <c r="A9" s="4" t="s">
        <v>419</v>
      </c>
      <c r="B9" s="6">
        <v>42.5</v>
      </c>
      <c r="C9" s="6"/>
      <c r="D9" s="5"/>
      <c r="E9" s="6"/>
    </row>
    <row r="10" spans="1:5" x14ac:dyDescent="0.3">
      <c r="A10" s="4" t="s">
        <v>417</v>
      </c>
      <c r="B10" s="6">
        <v>21.12</v>
      </c>
      <c r="C10" s="6"/>
      <c r="D10" s="5"/>
      <c r="E10" s="6"/>
    </row>
    <row r="11" spans="1:5" x14ac:dyDescent="0.3">
      <c r="A11" s="4" t="s">
        <v>413</v>
      </c>
      <c r="B11" s="6">
        <v>18.77</v>
      </c>
      <c r="C11" s="6"/>
      <c r="D11" s="5"/>
      <c r="E11" s="6"/>
    </row>
    <row r="12" spans="1:5" x14ac:dyDescent="0.3">
      <c r="A12" s="7"/>
      <c r="B12" s="7"/>
      <c r="C12" s="7"/>
      <c r="D12" s="7" t="s">
        <v>6</v>
      </c>
      <c r="E12" s="7">
        <v>75</v>
      </c>
    </row>
    <row r="13" spans="1:5" x14ac:dyDescent="0.3">
      <c r="A13" s="7"/>
      <c r="B13" s="7"/>
      <c r="C13" s="7"/>
      <c r="D13" s="7" t="s">
        <v>7</v>
      </c>
      <c r="E13" s="7"/>
    </row>
  </sheetData>
  <mergeCells count="1">
    <mergeCell ref="D3:E3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"/>
  <sheetViews>
    <sheetView workbookViewId="0">
      <selection activeCell="H27" sqref="H27"/>
    </sheetView>
  </sheetViews>
  <sheetFormatPr defaultRowHeight="14.4" x14ac:dyDescent="0.3"/>
  <cols>
    <col min="1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402</v>
      </c>
    </row>
    <row r="3" spans="1:5" x14ac:dyDescent="0.3">
      <c r="A3" s="3" t="s">
        <v>2</v>
      </c>
      <c r="B3" s="3" t="s">
        <v>9</v>
      </c>
      <c r="C3" s="3" t="s">
        <v>10</v>
      </c>
      <c r="D3" s="36" t="s">
        <v>3</v>
      </c>
      <c r="E3" s="37"/>
    </row>
    <row r="4" spans="1:5" x14ac:dyDescent="0.3">
      <c r="A4" s="4" t="s">
        <v>11</v>
      </c>
      <c r="B4" s="6">
        <v>26.12</v>
      </c>
      <c r="C4" s="6">
        <v>1959</v>
      </c>
      <c r="D4" s="5">
        <v>1</v>
      </c>
      <c r="E4" s="6">
        <v>75</v>
      </c>
    </row>
    <row r="5" spans="1:5" x14ac:dyDescent="0.3">
      <c r="A5" s="7"/>
      <c r="B5" s="7"/>
      <c r="C5" s="7"/>
      <c r="D5" s="7" t="s">
        <v>6</v>
      </c>
      <c r="E5" s="7">
        <v>75</v>
      </c>
    </row>
    <row r="6" spans="1:5" x14ac:dyDescent="0.3">
      <c r="A6" s="7"/>
      <c r="B6" s="7"/>
      <c r="C6" s="7"/>
      <c r="D6" s="7" t="s">
        <v>7</v>
      </c>
      <c r="E6" s="7">
        <v>12</v>
      </c>
    </row>
    <row r="25" spans="1:4" x14ac:dyDescent="0.3">
      <c r="A25" s="3" t="s">
        <v>12</v>
      </c>
      <c r="B25" s="3" t="s">
        <v>13</v>
      </c>
      <c r="C25" s="3"/>
      <c r="D25" s="3" t="s">
        <v>14</v>
      </c>
    </row>
    <row r="26" spans="1:4" x14ac:dyDescent="0.3">
      <c r="A26" s="4" t="s">
        <v>15</v>
      </c>
      <c r="B26" s="6" t="s">
        <v>237</v>
      </c>
      <c r="C26" s="6" t="s">
        <v>75</v>
      </c>
      <c r="D26" s="6"/>
    </row>
    <row r="27" spans="1:4" x14ac:dyDescent="0.3">
      <c r="A27" s="4" t="s">
        <v>18</v>
      </c>
      <c r="B27" s="6" t="s">
        <v>324</v>
      </c>
      <c r="C27" s="6" t="s">
        <v>82</v>
      </c>
      <c r="D27" s="6"/>
    </row>
    <row r="28" spans="1:4" x14ac:dyDescent="0.3">
      <c r="A28" s="4" t="s">
        <v>21</v>
      </c>
      <c r="B28" s="6" t="s">
        <v>325</v>
      </c>
      <c r="C28" s="6" t="s">
        <v>23</v>
      </c>
      <c r="D28" s="6"/>
    </row>
    <row r="29" spans="1:4" x14ac:dyDescent="0.3">
      <c r="A29" s="4" t="s">
        <v>24</v>
      </c>
      <c r="B29" s="6" t="s">
        <v>326</v>
      </c>
      <c r="C29" s="6" t="s">
        <v>17</v>
      </c>
      <c r="D29" s="6"/>
    </row>
    <row r="30" spans="1:4" x14ac:dyDescent="0.3">
      <c r="A30" s="4" t="s">
        <v>26</v>
      </c>
      <c r="B30" s="6" t="s">
        <v>246</v>
      </c>
      <c r="C30" s="6" t="s">
        <v>17</v>
      </c>
      <c r="D30" s="6"/>
    </row>
    <row r="31" spans="1:4" x14ac:dyDescent="0.3">
      <c r="A31" s="4" t="s">
        <v>28</v>
      </c>
      <c r="B31" s="6" t="s">
        <v>327</v>
      </c>
      <c r="C31" s="6" t="s">
        <v>403</v>
      </c>
      <c r="D31" s="6"/>
    </row>
    <row r="32" spans="1:4" x14ac:dyDescent="0.3">
      <c r="A32" s="4" t="s">
        <v>31</v>
      </c>
      <c r="B32" s="6" t="s">
        <v>328</v>
      </c>
      <c r="C32" s="6" t="s">
        <v>33</v>
      </c>
      <c r="D32" s="6"/>
    </row>
    <row r="33" spans="1:4" x14ac:dyDescent="0.3">
      <c r="A33" s="4" t="s">
        <v>34</v>
      </c>
      <c r="B33" s="6" t="s">
        <v>329</v>
      </c>
      <c r="C33" s="6" t="s">
        <v>38</v>
      </c>
      <c r="D33" s="6"/>
    </row>
    <row r="34" spans="1:4" x14ac:dyDescent="0.3">
      <c r="A34" s="4" t="s">
        <v>36</v>
      </c>
      <c r="B34" s="6" t="s">
        <v>331</v>
      </c>
      <c r="C34" s="6" t="s">
        <v>38</v>
      </c>
      <c r="D34" s="6"/>
    </row>
    <row r="35" spans="1:4" x14ac:dyDescent="0.3">
      <c r="A35" s="4" t="s">
        <v>39</v>
      </c>
      <c r="B35" s="6" t="s">
        <v>333</v>
      </c>
      <c r="C35" s="6" t="s">
        <v>41</v>
      </c>
      <c r="D35" s="6"/>
    </row>
    <row r="36" spans="1:4" x14ac:dyDescent="0.3">
      <c r="A36" s="4" t="s">
        <v>42</v>
      </c>
      <c r="B36" s="6" t="s">
        <v>334</v>
      </c>
      <c r="C36" s="6" t="s">
        <v>38</v>
      </c>
      <c r="D36" s="6"/>
    </row>
    <row r="37" spans="1:4" x14ac:dyDescent="0.3">
      <c r="A37" s="4" t="s">
        <v>44</v>
      </c>
      <c r="B37" s="6" t="s">
        <v>335</v>
      </c>
      <c r="C37" s="6" t="s">
        <v>150</v>
      </c>
      <c r="D37" s="6"/>
    </row>
    <row r="38" spans="1:4" x14ac:dyDescent="0.3">
      <c r="A38" s="4" t="s">
        <v>49</v>
      </c>
      <c r="B38" s="6" t="s">
        <v>336</v>
      </c>
      <c r="C38" s="6" t="s">
        <v>41</v>
      </c>
      <c r="D38" s="6"/>
    </row>
    <row r="39" spans="1:4" x14ac:dyDescent="0.3">
      <c r="A39" s="4" t="s">
        <v>52</v>
      </c>
      <c r="B39" s="6" t="s">
        <v>337</v>
      </c>
      <c r="C39" s="6" t="s">
        <v>17</v>
      </c>
      <c r="D39" s="6"/>
    </row>
    <row r="40" spans="1:4" x14ac:dyDescent="0.3">
      <c r="A40" s="4" t="s">
        <v>54</v>
      </c>
      <c r="B40" s="6" t="s">
        <v>338</v>
      </c>
      <c r="C40" s="6" t="s">
        <v>23</v>
      </c>
      <c r="D40" s="6"/>
    </row>
    <row r="41" spans="1:4" x14ac:dyDescent="0.3">
      <c r="A41" s="4" t="s">
        <v>56</v>
      </c>
      <c r="B41" s="6" t="s">
        <v>339</v>
      </c>
      <c r="C41" s="6" t="s">
        <v>17</v>
      </c>
      <c r="D41" s="6"/>
    </row>
    <row r="42" spans="1:4" x14ac:dyDescent="0.3">
      <c r="A42" s="4" t="s">
        <v>62</v>
      </c>
      <c r="B42" s="6" t="s">
        <v>340</v>
      </c>
      <c r="C42" s="6" t="s">
        <v>61</v>
      </c>
      <c r="D42" s="6"/>
    </row>
    <row r="43" spans="1:4" x14ac:dyDescent="0.3">
      <c r="A43" s="4" t="s">
        <v>65</v>
      </c>
      <c r="B43" s="6" t="s">
        <v>341</v>
      </c>
      <c r="C43" s="6" t="s">
        <v>41</v>
      </c>
      <c r="D43" s="6"/>
    </row>
    <row r="44" spans="1:4" x14ac:dyDescent="0.3">
      <c r="A44" s="4" t="s">
        <v>67</v>
      </c>
      <c r="B44" s="6" t="s">
        <v>343</v>
      </c>
      <c r="C44" s="6" t="s">
        <v>75</v>
      </c>
      <c r="D44" s="6"/>
    </row>
    <row r="45" spans="1:4" x14ac:dyDescent="0.3">
      <c r="A45" s="4" t="s">
        <v>71</v>
      </c>
      <c r="B45" s="6" t="s">
        <v>344</v>
      </c>
      <c r="C45" s="6" t="s">
        <v>58</v>
      </c>
      <c r="D45" s="6"/>
    </row>
    <row r="46" spans="1:4" x14ac:dyDescent="0.3">
      <c r="A46" s="4" t="s">
        <v>73</v>
      </c>
      <c r="B46" s="6" t="s">
        <v>345</v>
      </c>
      <c r="C46" s="6" t="s">
        <v>75</v>
      </c>
      <c r="D46" s="6"/>
    </row>
    <row r="47" spans="1:4" x14ac:dyDescent="0.3">
      <c r="A47" s="4" t="s">
        <v>76</v>
      </c>
      <c r="B47" s="6" t="s">
        <v>346</v>
      </c>
      <c r="C47" s="6" t="s">
        <v>203</v>
      </c>
      <c r="D47" s="6"/>
    </row>
    <row r="48" spans="1:4" x14ac:dyDescent="0.3">
      <c r="A48" s="4" t="s">
        <v>78</v>
      </c>
      <c r="B48" s="6" t="s">
        <v>348</v>
      </c>
      <c r="C48" s="6" t="s">
        <v>33</v>
      </c>
      <c r="D48" s="6"/>
    </row>
    <row r="49" spans="1:4" x14ac:dyDescent="0.3">
      <c r="A49" s="4" t="s">
        <v>80</v>
      </c>
      <c r="B49" s="6" t="s">
        <v>349</v>
      </c>
      <c r="C49" s="6" t="s">
        <v>58</v>
      </c>
      <c r="D49" s="6"/>
    </row>
    <row r="50" spans="1:4" x14ac:dyDescent="0.3">
      <c r="A50" s="4" t="s">
        <v>83</v>
      </c>
      <c r="B50" s="6" t="s">
        <v>350</v>
      </c>
      <c r="C50" s="6" t="s">
        <v>33</v>
      </c>
      <c r="D50" s="6"/>
    </row>
    <row r="51" spans="1:4" x14ac:dyDescent="0.3">
      <c r="A51" s="4" t="s">
        <v>85</v>
      </c>
      <c r="B51" s="6" t="s">
        <v>351</v>
      </c>
      <c r="C51" s="6" t="s">
        <v>75</v>
      </c>
      <c r="D51" s="6"/>
    </row>
    <row r="52" spans="1:4" x14ac:dyDescent="0.3">
      <c r="A52" s="4" t="s">
        <v>87</v>
      </c>
      <c r="B52" s="6" t="s">
        <v>352</v>
      </c>
      <c r="C52" s="6" t="s">
        <v>75</v>
      </c>
      <c r="D52" s="6"/>
    </row>
    <row r="53" spans="1:4" x14ac:dyDescent="0.3">
      <c r="A53" s="4" t="s">
        <v>91</v>
      </c>
      <c r="B53" s="6" t="s">
        <v>265</v>
      </c>
      <c r="C53" s="6" t="s">
        <v>75</v>
      </c>
      <c r="D53" s="6"/>
    </row>
    <row r="54" spans="1:4" x14ac:dyDescent="0.3">
      <c r="A54" s="4" t="s">
        <v>93</v>
      </c>
      <c r="B54" s="6" t="s">
        <v>353</v>
      </c>
      <c r="C54" s="6" t="s">
        <v>75</v>
      </c>
      <c r="D54" s="6"/>
    </row>
    <row r="55" spans="1:4" x14ac:dyDescent="0.3">
      <c r="A55" s="4" t="s">
        <v>95</v>
      </c>
      <c r="B55" s="6" t="s">
        <v>267</v>
      </c>
      <c r="C55" s="6" t="s">
        <v>354</v>
      </c>
      <c r="D55" s="6"/>
    </row>
    <row r="56" spans="1:4" x14ac:dyDescent="0.3">
      <c r="A56" s="4" t="s">
        <v>97</v>
      </c>
      <c r="B56" s="6" t="s">
        <v>355</v>
      </c>
      <c r="C56" s="6" t="s">
        <v>64</v>
      </c>
      <c r="D56" s="6"/>
    </row>
    <row r="57" spans="1:4" x14ac:dyDescent="0.3">
      <c r="A57" s="4" t="s">
        <v>100</v>
      </c>
      <c r="B57" s="6" t="s">
        <v>270</v>
      </c>
      <c r="C57" s="6" t="s">
        <v>17</v>
      </c>
      <c r="D57" s="6"/>
    </row>
    <row r="58" spans="1:4" x14ac:dyDescent="0.3">
      <c r="A58" s="4" t="s">
        <v>102</v>
      </c>
      <c r="B58" s="6" t="s">
        <v>357</v>
      </c>
      <c r="C58" s="6" t="s">
        <v>404</v>
      </c>
      <c r="D58" s="6"/>
    </row>
    <row r="59" spans="1:4" x14ac:dyDescent="0.3">
      <c r="A59" s="4" t="s">
        <v>104</v>
      </c>
      <c r="B59" s="6" t="s">
        <v>358</v>
      </c>
      <c r="C59" s="6" t="s">
        <v>46</v>
      </c>
      <c r="D59" s="6"/>
    </row>
    <row r="60" spans="1:4" x14ac:dyDescent="0.3">
      <c r="A60" s="4" t="s">
        <v>106</v>
      </c>
      <c r="B60" s="6" t="s">
        <v>271</v>
      </c>
      <c r="C60" s="6" t="s">
        <v>58</v>
      </c>
      <c r="D60" s="6"/>
    </row>
    <row r="61" spans="1:4" x14ac:dyDescent="0.3">
      <c r="A61" s="4" t="s">
        <v>108</v>
      </c>
      <c r="B61" s="6" t="s">
        <v>359</v>
      </c>
      <c r="C61" s="6" t="s">
        <v>58</v>
      </c>
      <c r="D61" s="6"/>
    </row>
    <row r="62" spans="1:4" x14ac:dyDescent="0.3">
      <c r="A62" s="4" t="s">
        <v>111</v>
      </c>
      <c r="B62" s="6" t="s">
        <v>360</v>
      </c>
      <c r="C62" s="6" t="s">
        <v>17</v>
      </c>
      <c r="D62" s="6"/>
    </row>
    <row r="63" spans="1:4" x14ac:dyDescent="0.3">
      <c r="A63" s="4" t="s">
        <v>114</v>
      </c>
      <c r="B63" s="6" t="s">
        <v>361</v>
      </c>
      <c r="C63" s="6" t="s">
        <v>17</v>
      </c>
      <c r="D63" s="6"/>
    </row>
    <row r="64" spans="1:4" x14ac:dyDescent="0.3">
      <c r="A64" s="4" t="s">
        <v>116</v>
      </c>
      <c r="B64" s="6" t="s">
        <v>362</v>
      </c>
      <c r="C64" s="6" t="s">
        <v>58</v>
      </c>
      <c r="D64" s="6"/>
    </row>
    <row r="65" spans="1:4" x14ac:dyDescent="0.3">
      <c r="A65" s="4" t="s">
        <v>118</v>
      </c>
      <c r="B65" s="6" t="s">
        <v>119</v>
      </c>
      <c r="C65" s="6" t="s">
        <v>58</v>
      </c>
      <c r="D65" s="6"/>
    </row>
    <row r="66" spans="1:4" x14ac:dyDescent="0.3">
      <c r="A66" s="4" t="s">
        <v>122</v>
      </c>
      <c r="B66" s="6" t="s">
        <v>363</v>
      </c>
      <c r="C66" s="6" t="s">
        <v>17</v>
      </c>
      <c r="D66" s="6"/>
    </row>
    <row r="67" spans="1:4" x14ac:dyDescent="0.3">
      <c r="A67" s="4" t="s">
        <v>124</v>
      </c>
      <c r="B67" s="6" t="s">
        <v>364</v>
      </c>
      <c r="C67" s="6" t="s">
        <v>58</v>
      </c>
      <c r="D67" s="6"/>
    </row>
    <row r="68" spans="1:4" x14ac:dyDescent="0.3">
      <c r="A68" s="4" t="s">
        <v>132</v>
      </c>
      <c r="B68" s="6" t="s">
        <v>365</v>
      </c>
      <c r="C68" s="6" t="s">
        <v>225</v>
      </c>
      <c r="D68" s="6"/>
    </row>
    <row r="69" spans="1:4" x14ac:dyDescent="0.3">
      <c r="A69" s="4" t="s">
        <v>135</v>
      </c>
      <c r="B69" s="6" t="s">
        <v>367</v>
      </c>
      <c r="C69" s="6" t="s">
        <v>405</v>
      </c>
      <c r="D69" s="6"/>
    </row>
    <row r="70" spans="1:4" x14ac:dyDescent="0.3">
      <c r="A70" s="4" t="s">
        <v>138</v>
      </c>
      <c r="B70" s="6" t="s">
        <v>139</v>
      </c>
      <c r="C70" s="6" t="s">
        <v>211</v>
      </c>
      <c r="D70" s="6"/>
    </row>
    <row r="71" spans="1:4" x14ac:dyDescent="0.3">
      <c r="A71" s="4" t="s">
        <v>142</v>
      </c>
      <c r="B71" s="6" t="s">
        <v>370</v>
      </c>
      <c r="C71" s="6" t="s">
        <v>23</v>
      </c>
      <c r="D71" s="6"/>
    </row>
    <row r="72" spans="1:4" x14ac:dyDescent="0.3">
      <c r="A72" s="4" t="s">
        <v>144</v>
      </c>
      <c r="B72" s="6" t="s">
        <v>371</v>
      </c>
      <c r="C72" s="6" t="s">
        <v>58</v>
      </c>
      <c r="D72" s="6"/>
    </row>
    <row r="73" spans="1:4" x14ac:dyDescent="0.3">
      <c r="A73" s="4" t="s">
        <v>146</v>
      </c>
      <c r="B73" s="6" t="s">
        <v>288</v>
      </c>
      <c r="C73" s="6" t="s">
        <v>46</v>
      </c>
      <c r="D73" s="6"/>
    </row>
    <row r="74" spans="1:4" x14ac:dyDescent="0.3">
      <c r="A74" s="4" t="s">
        <v>148</v>
      </c>
      <c r="B74" s="6" t="s">
        <v>372</v>
      </c>
      <c r="C74" s="6" t="s">
        <v>23</v>
      </c>
      <c r="D74" s="6"/>
    </row>
    <row r="75" spans="1:4" x14ac:dyDescent="0.3">
      <c r="A75" s="4" t="s">
        <v>151</v>
      </c>
      <c r="B75" s="6" t="s">
        <v>374</v>
      </c>
      <c r="C75" s="6" t="s">
        <v>82</v>
      </c>
      <c r="D75" s="6"/>
    </row>
    <row r="76" spans="1:4" x14ac:dyDescent="0.3">
      <c r="A76" s="4" t="s">
        <v>153</v>
      </c>
      <c r="B76" s="6" t="s">
        <v>375</v>
      </c>
      <c r="C76" s="6" t="s">
        <v>75</v>
      </c>
      <c r="D76" s="6"/>
    </row>
    <row r="77" spans="1:4" x14ac:dyDescent="0.3">
      <c r="A77" s="4" t="s">
        <v>155</v>
      </c>
      <c r="B77" s="6" t="s">
        <v>293</v>
      </c>
      <c r="C77" s="6" t="s">
        <v>17</v>
      </c>
      <c r="D77" s="6"/>
    </row>
    <row r="78" spans="1:4" x14ac:dyDescent="0.3">
      <c r="A78" s="4" t="s">
        <v>157</v>
      </c>
      <c r="B78" s="6" t="s">
        <v>376</v>
      </c>
      <c r="C78" s="6" t="s">
        <v>213</v>
      </c>
      <c r="D78" s="6"/>
    </row>
    <row r="79" spans="1:4" x14ac:dyDescent="0.3">
      <c r="A79" s="4" t="s">
        <v>159</v>
      </c>
      <c r="B79" s="6" t="s">
        <v>377</v>
      </c>
      <c r="C79" s="6" t="s">
        <v>33</v>
      </c>
      <c r="D79" s="6"/>
    </row>
    <row r="80" spans="1:4" x14ac:dyDescent="0.3">
      <c r="A80" s="4" t="s">
        <v>161</v>
      </c>
      <c r="B80" s="6" t="s">
        <v>378</v>
      </c>
      <c r="C80" s="6" t="s">
        <v>75</v>
      </c>
      <c r="D80" s="6"/>
    </row>
    <row r="81" spans="1:4" x14ac:dyDescent="0.3">
      <c r="A81" s="4" t="s">
        <v>164</v>
      </c>
      <c r="B81" s="6" t="s">
        <v>380</v>
      </c>
      <c r="C81" s="6" t="s">
        <v>110</v>
      </c>
      <c r="D81" s="6"/>
    </row>
    <row r="82" spans="1:4" x14ac:dyDescent="0.3">
      <c r="A82" s="4" t="s">
        <v>166</v>
      </c>
      <c r="B82" s="6" t="s">
        <v>381</v>
      </c>
      <c r="C82" s="6" t="s">
        <v>58</v>
      </c>
      <c r="D82" s="6"/>
    </row>
    <row r="83" spans="1:4" x14ac:dyDescent="0.3">
      <c r="A83" s="4" t="s">
        <v>170</v>
      </c>
      <c r="B83" s="6" t="s">
        <v>382</v>
      </c>
      <c r="C83" s="6" t="s">
        <v>17</v>
      </c>
      <c r="D83" s="6"/>
    </row>
    <row r="84" spans="1:4" x14ac:dyDescent="0.3">
      <c r="A84" s="4" t="s">
        <v>172</v>
      </c>
      <c r="B84" s="6" t="s">
        <v>384</v>
      </c>
      <c r="C84" s="6" t="s">
        <v>33</v>
      </c>
      <c r="D84" s="6"/>
    </row>
    <row r="85" spans="1:4" x14ac:dyDescent="0.3">
      <c r="A85" s="4" t="s">
        <v>176</v>
      </c>
      <c r="B85" s="6" t="s">
        <v>177</v>
      </c>
      <c r="C85" s="6" t="s">
        <v>61</v>
      </c>
      <c r="D85" s="6"/>
    </row>
    <row r="86" spans="1:4" x14ac:dyDescent="0.3">
      <c r="A86" s="4" t="s">
        <v>178</v>
      </c>
      <c r="B86" s="6" t="s">
        <v>385</v>
      </c>
      <c r="C86" s="6" t="s">
        <v>75</v>
      </c>
      <c r="D86" s="6"/>
    </row>
    <row r="87" spans="1:4" x14ac:dyDescent="0.3">
      <c r="A87" s="4" t="s">
        <v>180</v>
      </c>
      <c r="B87" s="6" t="s">
        <v>301</v>
      </c>
      <c r="C87" s="6" t="s">
        <v>61</v>
      </c>
      <c r="D87" s="6"/>
    </row>
    <row r="88" spans="1:4" x14ac:dyDescent="0.3">
      <c r="A88" s="4" t="s">
        <v>182</v>
      </c>
      <c r="B88" s="6" t="s">
        <v>303</v>
      </c>
      <c r="C88" s="6" t="s">
        <v>75</v>
      </c>
      <c r="D88" s="6"/>
    </row>
    <row r="89" spans="1:4" x14ac:dyDescent="0.3">
      <c r="A89" s="4" t="s">
        <v>184</v>
      </c>
      <c r="B89" s="6" t="s">
        <v>185</v>
      </c>
      <c r="C89" s="6" t="s">
        <v>23</v>
      </c>
      <c r="D89" s="6"/>
    </row>
    <row r="90" spans="1:4" x14ac:dyDescent="0.3">
      <c r="A90" s="4" t="s">
        <v>187</v>
      </c>
      <c r="B90" s="6" t="s">
        <v>386</v>
      </c>
      <c r="C90" s="6" t="s">
        <v>38</v>
      </c>
      <c r="D90" s="6"/>
    </row>
    <row r="91" spans="1:4" x14ac:dyDescent="0.3">
      <c r="A91" s="4" t="s">
        <v>191</v>
      </c>
      <c r="B91" s="6" t="s">
        <v>387</v>
      </c>
      <c r="C91" s="6" t="s">
        <v>75</v>
      </c>
      <c r="D91" s="6"/>
    </row>
    <row r="92" spans="1:4" x14ac:dyDescent="0.3">
      <c r="A92" s="4" t="s">
        <v>193</v>
      </c>
      <c r="B92" s="6" t="s">
        <v>388</v>
      </c>
      <c r="C92" s="6" t="s">
        <v>17</v>
      </c>
      <c r="D92" s="6"/>
    </row>
    <row r="93" spans="1:4" x14ac:dyDescent="0.3">
      <c r="A93" s="4" t="s">
        <v>197</v>
      </c>
      <c r="B93" s="6" t="s">
        <v>198</v>
      </c>
      <c r="C93" s="6" t="s">
        <v>61</v>
      </c>
      <c r="D93" s="6"/>
    </row>
    <row r="94" spans="1:4" x14ac:dyDescent="0.3">
      <c r="A94" s="4" t="s">
        <v>204</v>
      </c>
      <c r="B94" s="6" t="s">
        <v>310</v>
      </c>
      <c r="C94" s="6" t="s">
        <v>38</v>
      </c>
      <c r="D94" s="6"/>
    </row>
    <row r="95" spans="1:4" x14ac:dyDescent="0.3">
      <c r="A95" s="4" t="s">
        <v>201</v>
      </c>
      <c r="B95" s="6" t="s">
        <v>310</v>
      </c>
      <c r="C95" s="6" t="s">
        <v>58</v>
      </c>
      <c r="D95" s="6"/>
    </row>
    <row r="96" spans="1:4" x14ac:dyDescent="0.3">
      <c r="A96" s="4" t="s">
        <v>126</v>
      </c>
      <c r="B96" s="6" t="s">
        <v>389</v>
      </c>
      <c r="C96" s="6" t="s">
        <v>203</v>
      </c>
      <c r="D96" s="6"/>
    </row>
    <row r="97" spans="1:4" x14ac:dyDescent="0.3">
      <c r="A97" s="4" t="s">
        <v>129</v>
      </c>
      <c r="B97" s="6" t="s">
        <v>391</v>
      </c>
      <c r="C97" s="6" t="s">
        <v>406</v>
      </c>
      <c r="D97" s="6"/>
    </row>
    <row r="98" spans="1:4" x14ac:dyDescent="0.3">
      <c r="A98" s="4" t="s">
        <v>205</v>
      </c>
      <c r="B98" s="6" t="s">
        <v>312</v>
      </c>
      <c r="C98" s="6" t="s">
        <v>75</v>
      </c>
      <c r="D98" s="6"/>
    </row>
    <row r="99" spans="1:4" x14ac:dyDescent="0.3">
      <c r="A99" s="4" t="s">
        <v>130</v>
      </c>
      <c r="B99" s="6" t="s">
        <v>393</v>
      </c>
      <c r="C99" s="6" t="s">
        <v>137</v>
      </c>
      <c r="D99" s="6"/>
    </row>
    <row r="100" spans="1:4" x14ac:dyDescent="0.3">
      <c r="A100" s="4" t="s">
        <v>207</v>
      </c>
      <c r="B100" s="6" t="s">
        <v>208</v>
      </c>
      <c r="C100" s="6" t="s">
        <v>17</v>
      </c>
      <c r="D100" s="6"/>
    </row>
  </sheetData>
  <mergeCells count="1">
    <mergeCell ref="D3:E3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5727-55DC-4A09-BAA5-CD61C15EE05D}">
  <dimension ref="A1:E13"/>
  <sheetViews>
    <sheetView topLeftCell="A2" workbookViewId="0">
      <selection activeCell="G22" sqref="G22"/>
    </sheetView>
  </sheetViews>
  <sheetFormatPr defaultRowHeight="14.4" x14ac:dyDescent="0.3"/>
  <cols>
    <col min="1" max="1" width="19.44140625" customWidth="1"/>
    <col min="2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407</v>
      </c>
    </row>
    <row r="3" spans="1:5" x14ac:dyDescent="0.3">
      <c r="A3" s="3" t="s">
        <v>2</v>
      </c>
      <c r="B3" s="3" t="s">
        <v>412</v>
      </c>
      <c r="C3" s="3" t="s">
        <v>10</v>
      </c>
      <c r="D3" s="36" t="s">
        <v>3</v>
      </c>
      <c r="E3" s="37"/>
    </row>
    <row r="4" spans="1:5" x14ac:dyDescent="0.3">
      <c r="A4" s="4" t="s">
        <v>422</v>
      </c>
      <c r="B4" s="6">
        <v>19.829999999999998</v>
      </c>
      <c r="C4" s="6"/>
      <c r="D4" s="5"/>
      <c r="E4" s="6"/>
    </row>
    <row r="5" spans="1:5" x14ac:dyDescent="0.3">
      <c r="A5" s="4" t="s">
        <v>423</v>
      </c>
      <c r="B5" s="6">
        <v>49.6</v>
      </c>
      <c r="C5" s="6"/>
      <c r="D5" s="5"/>
      <c r="E5" s="6"/>
    </row>
    <row r="6" spans="1:5" x14ac:dyDescent="0.3">
      <c r="A6" s="4" t="s">
        <v>415</v>
      </c>
      <c r="B6" s="6">
        <v>19.14</v>
      </c>
      <c r="C6" s="6"/>
      <c r="D6" s="5"/>
      <c r="E6" s="6"/>
    </row>
    <row r="7" spans="1:5" x14ac:dyDescent="0.3">
      <c r="A7" s="4" t="s">
        <v>424</v>
      </c>
      <c r="B7" s="6">
        <v>24.38</v>
      </c>
      <c r="C7" s="6"/>
      <c r="D7" s="5"/>
      <c r="E7" s="6"/>
    </row>
    <row r="8" spans="1:5" x14ac:dyDescent="0.3">
      <c r="A8" s="4" t="s">
        <v>418</v>
      </c>
      <c r="B8" s="6">
        <v>6.67</v>
      </c>
      <c r="C8" s="6"/>
      <c r="D8" s="5"/>
      <c r="E8" s="6"/>
    </row>
    <row r="9" spans="1:5" x14ac:dyDescent="0.3">
      <c r="A9" s="4" t="s">
        <v>419</v>
      </c>
      <c r="B9" s="6">
        <v>21</v>
      </c>
      <c r="C9" s="6"/>
      <c r="D9" s="5"/>
      <c r="E9" s="6"/>
    </row>
    <row r="10" spans="1:5" x14ac:dyDescent="0.3">
      <c r="A10" s="4" t="s">
        <v>417</v>
      </c>
      <c r="B10" s="6">
        <v>11.88</v>
      </c>
      <c r="C10" s="6"/>
      <c r="D10" s="5"/>
      <c r="E10" s="6"/>
    </row>
    <row r="11" spans="1:5" x14ac:dyDescent="0.3">
      <c r="A11" s="4" t="s">
        <v>413</v>
      </c>
      <c r="B11" s="6">
        <v>11.48</v>
      </c>
      <c r="C11" s="6"/>
      <c r="D11" s="5"/>
      <c r="E11" s="6"/>
    </row>
    <row r="12" spans="1:5" x14ac:dyDescent="0.3">
      <c r="A12" s="7"/>
      <c r="B12" s="7"/>
      <c r="C12" s="7"/>
      <c r="D12" s="7" t="s">
        <v>6</v>
      </c>
      <c r="E12" s="7">
        <v>75</v>
      </c>
    </row>
    <row r="13" spans="1:5" x14ac:dyDescent="0.3">
      <c r="A13" s="7"/>
      <c r="B13" s="7"/>
      <c r="C13" s="7"/>
      <c r="D13" s="7" t="s">
        <v>7</v>
      </c>
      <c r="E13" s="7"/>
    </row>
  </sheetData>
  <mergeCells count="1">
    <mergeCell ref="D3:E3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8563-0C78-4CF9-ACED-77DBE2CBAB51}">
  <dimension ref="M2:W37"/>
  <sheetViews>
    <sheetView zoomScale="85" zoomScaleNormal="85" workbookViewId="0">
      <selection activeCell="R20" sqref="R20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36.36</v>
      </c>
      <c r="S3" s="16">
        <v>70.790000000000006</v>
      </c>
      <c r="T3" s="16">
        <v>20.440000000000001</v>
      </c>
      <c r="U3" s="16">
        <v>29.84</v>
      </c>
      <c r="V3" s="16">
        <v>26.12</v>
      </c>
      <c r="W3" s="16">
        <v>19.829999999999998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12923.5/37000*100</f>
        <v>34.928378378378376</v>
      </c>
      <c r="Q5" t="s">
        <v>448</v>
      </c>
      <c r="R5">
        <f>$R$3+P5</f>
        <v>71.288378378378383</v>
      </c>
      <c r="S5">
        <f>$S$3+P5</f>
        <v>105.71837837837839</v>
      </c>
      <c r="T5">
        <f>$T$3+P5</f>
        <v>55.368378378378381</v>
      </c>
      <c r="U5">
        <f>$U$3+P5</f>
        <v>64.768378378378372</v>
      </c>
      <c r="V5">
        <f>$V$3+P5</f>
        <v>61.048378378378374</v>
      </c>
      <c r="W5">
        <f>$W$3+P5</f>
        <v>54.758378378378374</v>
      </c>
    </row>
    <row r="6" spans="13:23" x14ac:dyDescent="0.3">
      <c r="M6" s="15">
        <v>0.8</v>
      </c>
      <c r="N6" s="14">
        <v>0</v>
      </c>
      <c r="O6" s="14">
        <v>80</v>
      </c>
      <c r="P6" s="18">
        <f>2800/37000*100</f>
        <v>7.5675675675675684</v>
      </c>
      <c r="Q6" t="s">
        <v>449</v>
      </c>
      <c r="R6">
        <f t="shared" ref="R6:R12" si="0">$R$3+P6</f>
        <v>43.927567567567564</v>
      </c>
      <c r="S6">
        <f t="shared" ref="S6:S12" si="1">$S$3+P6</f>
        <v>78.357567567567571</v>
      </c>
      <c r="T6">
        <f t="shared" ref="T6:T12" si="2">$T$3+P6</f>
        <v>28.00756756756757</v>
      </c>
      <c r="U6">
        <f>$U$3+P6</f>
        <v>37.407567567567568</v>
      </c>
      <c r="V6">
        <f t="shared" ref="V6:V12" si="3">$V$3+P6</f>
        <v>33.687567567567569</v>
      </c>
      <c r="W6">
        <f t="shared" ref="W6:W12" si="4">$W$3+P6</f>
        <v>27.397567567567567</v>
      </c>
    </row>
    <row r="7" spans="13:23" x14ac:dyDescent="0.3">
      <c r="M7" s="15"/>
      <c r="N7" s="14">
        <v>80</v>
      </c>
      <c r="O7" s="14">
        <v>0</v>
      </c>
      <c r="P7" s="23">
        <f>900/37000*100</f>
        <v>2.4324324324324325</v>
      </c>
      <c r="Q7" t="s">
        <v>450</v>
      </c>
      <c r="R7">
        <f t="shared" si="0"/>
        <v>38.792432432432435</v>
      </c>
      <c r="S7">
        <f t="shared" si="1"/>
        <v>73.222432432432441</v>
      </c>
      <c r="T7">
        <f t="shared" si="2"/>
        <v>22.872432432432433</v>
      </c>
      <c r="U7">
        <f>$U$3+P7</f>
        <v>32.272432432432431</v>
      </c>
      <c r="V7">
        <f t="shared" si="3"/>
        <v>28.552432432432433</v>
      </c>
      <c r="W7">
        <f t="shared" si="4"/>
        <v>22.26243243243243</v>
      </c>
    </row>
    <row r="8" spans="13:23" x14ac:dyDescent="0.3">
      <c r="M8" s="15">
        <v>1</v>
      </c>
      <c r="N8" s="14">
        <v>0</v>
      </c>
      <c r="O8" s="14">
        <v>100</v>
      </c>
      <c r="P8" s="18">
        <f>1976/37000*100</f>
        <v>5.3405405405405411</v>
      </c>
      <c r="Q8" t="s">
        <v>451</v>
      </c>
      <c r="R8">
        <f t="shared" si="0"/>
        <v>41.700540540540544</v>
      </c>
      <c r="S8">
        <f t="shared" si="1"/>
        <v>76.130540540540551</v>
      </c>
      <c r="T8">
        <f t="shared" si="2"/>
        <v>25.780540540540542</v>
      </c>
      <c r="U8">
        <f t="shared" ref="U8:U12" si="5">$U$3+P8</f>
        <v>35.180540540540541</v>
      </c>
      <c r="V8">
        <f t="shared" si="3"/>
        <v>31.460540540540542</v>
      </c>
      <c r="W8">
        <f t="shared" si="4"/>
        <v>25.170540540540539</v>
      </c>
    </row>
    <row r="9" spans="13:23" x14ac:dyDescent="0.3">
      <c r="M9" s="15"/>
      <c r="N9" s="14">
        <v>100</v>
      </c>
      <c r="O9" s="14">
        <v>0</v>
      </c>
      <c r="P9" s="18">
        <f>2530/37000*100</f>
        <v>6.8378378378378377</v>
      </c>
      <c r="Q9" t="s">
        <v>452</v>
      </c>
      <c r="R9">
        <f t="shared" si="0"/>
        <v>43.197837837837838</v>
      </c>
      <c r="S9">
        <f t="shared" si="1"/>
        <v>77.627837837837845</v>
      </c>
      <c r="T9">
        <f t="shared" si="2"/>
        <v>27.27783783783784</v>
      </c>
      <c r="U9">
        <f t="shared" si="5"/>
        <v>36.677837837837835</v>
      </c>
      <c r="V9">
        <f t="shared" si="3"/>
        <v>32.957837837837836</v>
      </c>
      <c r="W9">
        <f t="shared" si="4"/>
        <v>26.667837837837837</v>
      </c>
    </row>
    <row r="10" spans="13:23" x14ac:dyDescent="0.3">
      <c r="M10" s="15" t="s">
        <v>459</v>
      </c>
      <c r="N10" s="18">
        <f>P5</f>
        <v>34.928378378378376</v>
      </c>
      <c r="O10" s="14">
        <v>0</v>
      </c>
      <c r="P10" s="18">
        <f>3000/37000*100</f>
        <v>8.1081081081081088</v>
      </c>
      <c r="Q10" t="s">
        <v>453</v>
      </c>
      <c r="R10">
        <f t="shared" si="0"/>
        <v>44.468108108108112</v>
      </c>
      <c r="S10">
        <f t="shared" si="1"/>
        <v>78.898108108108119</v>
      </c>
      <c r="T10">
        <f t="shared" si="2"/>
        <v>28.54810810810811</v>
      </c>
      <c r="U10">
        <f t="shared" si="5"/>
        <v>37.948108108108109</v>
      </c>
      <c r="V10">
        <f t="shared" si="3"/>
        <v>34.22810810810811</v>
      </c>
      <c r="W10">
        <f t="shared" si="4"/>
        <v>27.938108108108107</v>
      </c>
    </row>
    <row r="11" spans="13:23" x14ac:dyDescent="0.3">
      <c r="M11" s="15"/>
      <c r="N11" s="18">
        <f>P5</f>
        <v>34.928378378378376</v>
      </c>
      <c r="O11" s="14">
        <v>100</v>
      </c>
      <c r="P11" s="18">
        <f>548.158/37000*100</f>
        <v>1.4815081081081083</v>
      </c>
      <c r="Q11" t="s">
        <v>454</v>
      </c>
      <c r="R11">
        <f t="shared" si="0"/>
        <v>37.841508108108108</v>
      </c>
      <c r="S11">
        <f t="shared" si="1"/>
        <v>72.271508108108108</v>
      </c>
      <c r="T11">
        <f t="shared" si="2"/>
        <v>21.92150810810811</v>
      </c>
      <c r="U11">
        <f t="shared" si="5"/>
        <v>31.321508108108109</v>
      </c>
      <c r="V11">
        <f t="shared" si="3"/>
        <v>27.60150810810811</v>
      </c>
      <c r="W11">
        <f t="shared" si="4"/>
        <v>21.311508108108107</v>
      </c>
    </row>
    <row r="12" spans="13:23" x14ac:dyDescent="0.3">
      <c r="M12" t="s">
        <v>460</v>
      </c>
      <c r="N12" s="18">
        <f>P6</f>
        <v>7.5675675675675684</v>
      </c>
      <c r="O12" s="14">
        <v>0</v>
      </c>
      <c r="P12" s="18">
        <f>237/37000*100</f>
        <v>0.64054054054054055</v>
      </c>
      <c r="Q12" t="s">
        <v>455</v>
      </c>
      <c r="R12">
        <f t="shared" si="0"/>
        <v>37.000540540540541</v>
      </c>
      <c r="S12">
        <f t="shared" si="1"/>
        <v>71.430540540540548</v>
      </c>
      <c r="T12">
        <f t="shared" si="2"/>
        <v>21.080540540540543</v>
      </c>
      <c r="U12">
        <f t="shared" si="5"/>
        <v>30.480540540540542</v>
      </c>
      <c r="V12">
        <f t="shared" si="3"/>
        <v>26.760540540540543</v>
      </c>
      <c r="W12">
        <f t="shared" si="4"/>
        <v>20.47054054054054</v>
      </c>
    </row>
    <row r="13" spans="13:23" x14ac:dyDescent="0.3">
      <c r="M13" s="15"/>
      <c r="N13" s="18">
        <f>P6</f>
        <v>7.5675675675675684</v>
      </c>
      <c r="O13" s="14">
        <v>100</v>
      </c>
    </row>
    <row r="14" spans="13:23" x14ac:dyDescent="0.3">
      <c r="M14" t="s">
        <v>461</v>
      </c>
      <c r="N14" s="18">
        <f>P8</f>
        <v>5.3405405405405411</v>
      </c>
      <c r="O14" s="14">
        <v>0</v>
      </c>
    </row>
    <row r="15" spans="13:23" x14ac:dyDescent="0.3">
      <c r="M15" s="15"/>
      <c r="N15" s="18">
        <f>P8</f>
        <v>5.3405405405405411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6.8378378378378377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P9</f>
        <v>6.8378378378378377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8.1081081081081088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P10</f>
        <v>8.1081081081081088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1.4815081081081083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1.4815081081081083</v>
      </c>
      <c r="O21" s="14">
        <v>100</v>
      </c>
    </row>
    <row r="22" spans="13:23" x14ac:dyDescent="0.3">
      <c r="M22" s="15" t="s">
        <v>472</v>
      </c>
      <c r="N22" s="18">
        <f>P7</f>
        <v>2.4324324324324325</v>
      </c>
      <c r="O22" s="14">
        <v>0</v>
      </c>
    </row>
    <row r="23" spans="13:23" x14ac:dyDescent="0.3">
      <c r="M23" s="15"/>
      <c r="N23" s="18">
        <f>P7</f>
        <v>2.4324324324324325</v>
      </c>
      <c r="O23" s="14">
        <v>100</v>
      </c>
    </row>
    <row r="24" spans="13:23" x14ac:dyDescent="0.3">
      <c r="M24" s="15" t="s">
        <v>473</v>
      </c>
      <c r="N24" s="18">
        <f>P12</f>
        <v>0.64054054054054055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8">
        <f>P12</f>
        <v>0.64054054054054055</v>
      </c>
      <c r="O25" s="14">
        <v>100</v>
      </c>
      <c r="R25" s="18">
        <f>12923.5/37000*100</f>
        <v>34.928378378378376</v>
      </c>
      <c r="S25" s="16">
        <v>70.790000000000006</v>
      </c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f>R3</f>
        <v>36.36</v>
      </c>
      <c r="R26" s="18"/>
      <c r="S26" s="16"/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f>R3</f>
        <v>36.36</v>
      </c>
      <c r="R27" s="23"/>
      <c r="S27" s="16"/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f>S3</f>
        <v>70.790000000000006</v>
      </c>
      <c r="R28" s="23"/>
      <c r="S28" s="16"/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f>S3</f>
        <v>70.790000000000006</v>
      </c>
      <c r="R29" s="23"/>
      <c r="S29" s="16"/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f>T3</f>
        <v>20.440000000000001</v>
      </c>
      <c r="R30" s="23"/>
      <c r="S30" s="16"/>
    </row>
    <row r="31" spans="13:23" x14ac:dyDescent="0.3">
      <c r="M31" s="19"/>
      <c r="N31" s="14">
        <v>100</v>
      </c>
      <c r="O31" s="16">
        <f>T3</f>
        <v>20.440000000000001</v>
      </c>
      <c r="R31" s="24"/>
      <c r="S31" s="16"/>
    </row>
    <row r="32" spans="13:23" x14ac:dyDescent="0.3">
      <c r="M32" s="15" t="s">
        <v>446</v>
      </c>
      <c r="N32" s="14">
        <v>0</v>
      </c>
      <c r="O32" s="16">
        <f>U3</f>
        <v>29.84</v>
      </c>
      <c r="R32" s="24"/>
      <c r="S32" s="16"/>
    </row>
    <row r="33" spans="13:18" x14ac:dyDescent="0.3">
      <c r="M33" s="15"/>
      <c r="N33" s="14">
        <v>100</v>
      </c>
      <c r="O33" s="16">
        <f>U3</f>
        <v>29.84</v>
      </c>
      <c r="R33" s="25"/>
    </row>
    <row r="34" spans="13:18" x14ac:dyDescent="0.3">
      <c r="M34" s="15" t="s">
        <v>445</v>
      </c>
      <c r="N34" s="14">
        <v>0</v>
      </c>
      <c r="O34" s="16">
        <f>V3</f>
        <v>26.12</v>
      </c>
    </row>
    <row r="35" spans="13:18" x14ac:dyDescent="0.3">
      <c r="M35" s="15"/>
      <c r="N35" s="14">
        <v>100</v>
      </c>
      <c r="O35" s="16">
        <f>V3</f>
        <v>26.12</v>
      </c>
    </row>
    <row r="36" spans="13:18" x14ac:dyDescent="0.3">
      <c r="M36" s="15" t="s">
        <v>467</v>
      </c>
      <c r="N36" s="14">
        <v>0</v>
      </c>
      <c r="O36" s="16">
        <f>W3</f>
        <v>19.829999999999998</v>
      </c>
    </row>
    <row r="37" spans="13:18" x14ac:dyDescent="0.3">
      <c r="M37" s="15"/>
      <c r="N37" s="14">
        <v>100</v>
      </c>
      <c r="O37" s="16">
        <f>W3</f>
        <v>19.829999999999998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4D76-CBB7-4E0B-B46B-24424667DBF6}">
  <dimension ref="M2:W33"/>
  <sheetViews>
    <sheetView topLeftCell="A9" zoomScaleNormal="100" workbookViewId="0">
      <selection activeCell="Q24" sqref="Q24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41.83</v>
      </c>
      <c r="S3" s="16">
        <v>44.16</v>
      </c>
      <c r="T3" s="16">
        <v>49.2</v>
      </c>
      <c r="U3" s="16">
        <v>59.6</v>
      </c>
      <c r="V3" s="16">
        <v>65.2</v>
      </c>
      <c r="W3" s="16">
        <v>49.6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22">
        <f>99.9</f>
        <v>99.9</v>
      </c>
      <c r="Q5" t="s">
        <v>448</v>
      </c>
      <c r="R5">
        <f t="shared" ref="R5:R12" si="0">$R$3+P5</f>
        <v>141.73000000000002</v>
      </c>
      <c r="S5">
        <f t="shared" ref="S5:S12" si="1">$S$3+P5</f>
        <v>144.06</v>
      </c>
      <c r="T5">
        <f t="shared" ref="T5:T12" si="2">$T$3+P5</f>
        <v>149.10000000000002</v>
      </c>
      <c r="U5">
        <f>$U$3+P5</f>
        <v>159.5</v>
      </c>
      <c r="V5">
        <f t="shared" ref="V5:V12" si="3">$V$3+P5</f>
        <v>165.10000000000002</v>
      </c>
      <c r="W5">
        <f>$W$3+P5</f>
        <v>149.5</v>
      </c>
    </row>
    <row r="6" spans="13:23" x14ac:dyDescent="0.3">
      <c r="M6" s="15">
        <v>0.8</v>
      </c>
      <c r="N6" s="14">
        <v>0</v>
      </c>
      <c r="O6" s="14">
        <v>80</v>
      </c>
      <c r="P6" s="18">
        <f>5115/19000*100</f>
        <v>26.921052631578945</v>
      </c>
      <c r="Q6" t="s">
        <v>449</v>
      </c>
      <c r="R6">
        <f t="shared" si="0"/>
        <v>68.751052631578943</v>
      </c>
      <c r="S6">
        <f t="shared" si="1"/>
        <v>71.081052631578942</v>
      </c>
      <c r="T6">
        <f t="shared" si="2"/>
        <v>76.121052631578948</v>
      </c>
      <c r="U6">
        <f>$U$3+P6</f>
        <v>86.521052631578954</v>
      </c>
      <c r="V6">
        <f t="shared" si="3"/>
        <v>92.121052631578948</v>
      </c>
      <c r="W6">
        <f t="shared" ref="W6:W12" si="4">$W$3+P6</f>
        <v>76.521052631578954</v>
      </c>
    </row>
    <row r="7" spans="13:23" x14ac:dyDescent="0.3">
      <c r="M7" s="15"/>
      <c r="N7" s="14">
        <v>80</v>
      </c>
      <c r="O7" s="14">
        <v>0</v>
      </c>
      <c r="P7" s="18">
        <v>0</v>
      </c>
      <c r="Q7" t="s">
        <v>450</v>
      </c>
      <c r="R7">
        <f t="shared" si="0"/>
        <v>41.83</v>
      </c>
      <c r="S7">
        <f t="shared" si="1"/>
        <v>44.16</v>
      </c>
      <c r="T7">
        <f t="shared" si="2"/>
        <v>49.2</v>
      </c>
      <c r="U7">
        <f>$U$3+P7</f>
        <v>59.6</v>
      </c>
      <c r="V7">
        <f t="shared" si="3"/>
        <v>65.2</v>
      </c>
      <c r="W7">
        <f t="shared" si="4"/>
        <v>49.6</v>
      </c>
    </row>
    <row r="8" spans="13:23" x14ac:dyDescent="0.3">
      <c r="M8" s="15">
        <v>1</v>
      </c>
      <c r="N8" s="14">
        <v>0</v>
      </c>
      <c r="O8" s="14">
        <v>100</v>
      </c>
      <c r="P8" s="18">
        <f>300/19000*100</f>
        <v>1.5789473684210527</v>
      </c>
      <c r="Q8" t="s">
        <v>451</v>
      </c>
      <c r="R8">
        <f t="shared" si="0"/>
        <v>43.408947368421053</v>
      </c>
      <c r="S8">
        <f t="shared" si="1"/>
        <v>45.738947368421051</v>
      </c>
      <c r="T8">
        <f t="shared" si="2"/>
        <v>50.778947368421058</v>
      </c>
      <c r="U8">
        <f t="shared" ref="U8:U12" si="5">$U$3+P8</f>
        <v>61.178947368421056</v>
      </c>
      <c r="V8">
        <f t="shared" si="3"/>
        <v>66.778947368421058</v>
      </c>
      <c r="W8">
        <f t="shared" si="4"/>
        <v>51.178947368421056</v>
      </c>
    </row>
    <row r="9" spans="13:23" x14ac:dyDescent="0.3">
      <c r="M9" s="15"/>
      <c r="N9" s="14">
        <v>100</v>
      </c>
      <c r="O9" s="14">
        <v>0</v>
      </c>
      <c r="P9" s="18">
        <f>100/19000*100</f>
        <v>0.52631578947368418</v>
      </c>
      <c r="Q9" t="s">
        <v>452</v>
      </c>
      <c r="R9">
        <f t="shared" si="0"/>
        <v>42.356315789473683</v>
      </c>
      <c r="S9">
        <f t="shared" si="1"/>
        <v>44.686315789473682</v>
      </c>
      <c r="T9">
        <f t="shared" si="2"/>
        <v>49.726315789473688</v>
      </c>
      <c r="U9">
        <f t="shared" si="5"/>
        <v>60.126315789473686</v>
      </c>
      <c r="V9">
        <f t="shared" si="3"/>
        <v>65.726315789473688</v>
      </c>
      <c r="W9">
        <f t="shared" si="4"/>
        <v>50.126315789473686</v>
      </c>
    </row>
    <row r="10" spans="13:23" x14ac:dyDescent="0.3">
      <c r="M10" s="15" t="s">
        <v>459</v>
      </c>
      <c r="N10" s="18">
        <f>P5</f>
        <v>99.9</v>
      </c>
      <c r="O10" s="14">
        <v>0</v>
      </c>
      <c r="P10" s="18">
        <f>120/19000*100</f>
        <v>0.63157894736842102</v>
      </c>
      <c r="Q10" t="s">
        <v>453</v>
      </c>
      <c r="R10">
        <f t="shared" si="0"/>
        <v>42.461578947368416</v>
      </c>
      <c r="S10">
        <f t="shared" si="1"/>
        <v>44.791578947368414</v>
      </c>
      <c r="T10">
        <f t="shared" si="2"/>
        <v>49.831578947368421</v>
      </c>
      <c r="U10">
        <f t="shared" si="5"/>
        <v>60.231578947368419</v>
      </c>
      <c r="V10">
        <f t="shared" si="3"/>
        <v>65.831578947368428</v>
      </c>
      <c r="W10">
        <f t="shared" si="4"/>
        <v>50.231578947368419</v>
      </c>
    </row>
    <row r="11" spans="13:23" x14ac:dyDescent="0.3">
      <c r="M11" s="15"/>
      <c r="N11" s="18">
        <f>P5</f>
        <v>99.9</v>
      </c>
      <c r="O11" s="14">
        <v>100</v>
      </c>
      <c r="P11" s="18">
        <f>50/19000*100</f>
        <v>0.26315789473684209</v>
      </c>
      <c r="Q11" t="s">
        <v>454</v>
      </c>
      <c r="R11">
        <f t="shared" si="0"/>
        <v>42.093157894736841</v>
      </c>
      <c r="S11">
        <f t="shared" si="1"/>
        <v>44.423157894736839</v>
      </c>
      <c r="T11">
        <f t="shared" si="2"/>
        <v>49.463157894736845</v>
      </c>
      <c r="U11">
        <f t="shared" si="5"/>
        <v>59.863157894736844</v>
      </c>
      <c r="V11">
        <f t="shared" si="3"/>
        <v>65.463157894736838</v>
      </c>
      <c r="W11">
        <f t="shared" si="4"/>
        <v>49.863157894736844</v>
      </c>
    </row>
    <row r="12" spans="13:23" x14ac:dyDescent="0.3">
      <c r="M12" t="s">
        <v>460</v>
      </c>
      <c r="N12" s="18">
        <f>P6</f>
        <v>26.921052631578945</v>
      </c>
      <c r="O12" s="14">
        <v>0</v>
      </c>
      <c r="P12" s="18">
        <v>0</v>
      </c>
      <c r="Q12" t="s">
        <v>455</v>
      </c>
      <c r="R12">
        <f t="shared" si="0"/>
        <v>41.83</v>
      </c>
      <c r="S12">
        <f t="shared" si="1"/>
        <v>44.16</v>
      </c>
      <c r="T12">
        <f t="shared" si="2"/>
        <v>49.2</v>
      </c>
      <c r="U12">
        <f t="shared" si="5"/>
        <v>59.6</v>
      </c>
      <c r="V12">
        <f t="shared" si="3"/>
        <v>65.2</v>
      </c>
      <c r="W12">
        <f t="shared" si="4"/>
        <v>49.6</v>
      </c>
    </row>
    <row r="13" spans="13:23" x14ac:dyDescent="0.3">
      <c r="M13" s="15"/>
      <c r="N13" s="18">
        <f>P6</f>
        <v>26.921052631578945</v>
      </c>
      <c r="O13" s="14">
        <v>100</v>
      </c>
    </row>
    <row r="14" spans="13:23" x14ac:dyDescent="0.3">
      <c r="M14" t="s">
        <v>461</v>
      </c>
      <c r="N14" s="18">
        <f>P8</f>
        <v>1.5789473684210527</v>
      </c>
      <c r="O14" s="14">
        <v>0</v>
      </c>
      <c r="Q14" s="22">
        <f>50000/19000*100</f>
        <v>263.15789473684214</v>
      </c>
    </row>
    <row r="15" spans="13:23" x14ac:dyDescent="0.3">
      <c r="M15" s="15"/>
      <c r="N15" s="18">
        <f>P8</f>
        <v>1.5789473684210527</v>
      </c>
      <c r="O15" s="14">
        <v>100</v>
      </c>
      <c r="Q15" s="29" t="s">
        <v>448</v>
      </c>
      <c r="R15" s="18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0.52631578947368418</v>
      </c>
      <c r="O16" s="14">
        <v>0</v>
      </c>
      <c r="R16" s="18"/>
      <c r="S16" s="16"/>
      <c r="T16" s="16"/>
      <c r="U16" s="16"/>
      <c r="V16" s="16"/>
      <c r="W16" s="16"/>
    </row>
    <row r="17" spans="13:23" x14ac:dyDescent="0.3">
      <c r="M17" s="15"/>
      <c r="N17" s="18">
        <f>P9</f>
        <v>0.52631578947368418</v>
      </c>
      <c r="O17" s="14">
        <v>100</v>
      </c>
      <c r="R17" s="18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0.63157894736842102</v>
      </c>
      <c r="O18" s="14">
        <v>0</v>
      </c>
      <c r="R18" s="18"/>
      <c r="S18" s="16"/>
      <c r="T18" s="16"/>
      <c r="U18" s="16"/>
      <c r="V18" s="16"/>
      <c r="W18" s="16"/>
    </row>
    <row r="19" spans="13:23" x14ac:dyDescent="0.3">
      <c r="M19" s="15"/>
      <c r="N19" s="18">
        <f>P10</f>
        <v>0.63157894736842102</v>
      </c>
      <c r="O19" s="14">
        <v>100</v>
      </c>
      <c r="R19" s="18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0.26315789473684209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0.26315789473684209</v>
      </c>
      <c r="O21" s="14">
        <v>100</v>
      </c>
    </row>
    <row r="22" spans="13:23" x14ac:dyDescent="0.3">
      <c r="M22" s="15" t="s">
        <v>465</v>
      </c>
      <c r="N22" s="14">
        <v>0</v>
      </c>
      <c r="O22" s="14">
        <f>R3</f>
        <v>41.83</v>
      </c>
    </row>
    <row r="23" spans="13:23" x14ac:dyDescent="0.3">
      <c r="M23" s="15"/>
      <c r="N23" s="14">
        <v>100</v>
      </c>
      <c r="O23" s="14">
        <f>R3</f>
        <v>41.83</v>
      </c>
      <c r="R23" s="34" t="s">
        <v>468</v>
      </c>
      <c r="S23" s="35"/>
    </row>
    <row r="24" spans="13:23" x14ac:dyDescent="0.3">
      <c r="M24" s="15" t="s">
        <v>443</v>
      </c>
      <c r="N24" s="14">
        <v>0</v>
      </c>
      <c r="O24" s="14">
        <f>S3</f>
        <v>44.16</v>
      </c>
      <c r="R24" s="18">
        <f t="shared" ref="R24:R29" si="6">99.9</f>
        <v>99.9</v>
      </c>
      <c r="S24" s="16">
        <v>41.83</v>
      </c>
      <c r="T24" s="16"/>
      <c r="U24" s="16"/>
      <c r="V24" s="16"/>
      <c r="W24" s="16"/>
    </row>
    <row r="25" spans="13:23" x14ac:dyDescent="0.3">
      <c r="M25" s="15"/>
      <c r="N25" s="14">
        <v>100</v>
      </c>
      <c r="O25" s="14">
        <f>S3</f>
        <v>44.16</v>
      </c>
      <c r="R25" s="18">
        <f t="shared" si="6"/>
        <v>99.9</v>
      </c>
      <c r="S25" s="16">
        <v>44.16</v>
      </c>
      <c r="T25" s="16"/>
      <c r="U25" s="16"/>
      <c r="V25" s="16"/>
      <c r="W25" s="16"/>
    </row>
    <row r="26" spans="13:23" x14ac:dyDescent="0.3">
      <c r="M26" s="20" t="s">
        <v>466</v>
      </c>
      <c r="N26" s="14">
        <v>0</v>
      </c>
      <c r="O26" s="14">
        <f>T3</f>
        <v>49.2</v>
      </c>
      <c r="R26" s="18">
        <f t="shared" si="6"/>
        <v>99.9</v>
      </c>
      <c r="S26" s="16">
        <v>49.2</v>
      </c>
      <c r="T26" s="16"/>
      <c r="U26" s="16"/>
      <c r="V26" s="16"/>
      <c r="W26" s="16"/>
    </row>
    <row r="27" spans="13:23" x14ac:dyDescent="0.3">
      <c r="M27" s="19"/>
      <c r="N27" s="14">
        <v>100</v>
      </c>
      <c r="O27" s="14">
        <f>T3</f>
        <v>49.2</v>
      </c>
      <c r="R27" s="18">
        <f t="shared" si="6"/>
        <v>99.9</v>
      </c>
      <c r="S27" s="16">
        <v>59.6</v>
      </c>
      <c r="T27" s="16"/>
      <c r="U27" s="16"/>
      <c r="V27" s="16"/>
      <c r="W27" s="16"/>
    </row>
    <row r="28" spans="13:23" x14ac:dyDescent="0.3">
      <c r="M28" s="15" t="s">
        <v>446</v>
      </c>
      <c r="N28" s="14">
        <v>0</v>
      </c>
      <c r="O28" s="14">
        <f>U3</f>
        <v>59.6</v>
      </c>
      <c r="R28" s="18">
        <f t="shared" si="6"/>
        <v>99.9</v>
      </c>
      <c r="S28" s="16">
        <v>65.2</v>
      </c>
      <c r="T28" s="16"/>
      <c r="U28" s="16"/>
      <c r="V28" s="16"/>
      <c r="W28" s="16"/>
    </row>
    <row r="29" spans="13:23" x14ac:dyDescent="0.3">
      <c r="M29" s="15"/>
      <c r="N29" s="14">
        <v>100</v>
      </c>
      <c r="O29" s="14">
        <f>U3</f>
        <v>59.6</v>
      </c>
      <c r="R29" s="18">
        <f t="shared" si="6"/>
        <v>99.9</v>
      </c>
      <c r="S29" s="16">
        <v>49.6</v>
      </c>
      <c r="T29" s="16"/>
      <c r="U29" s="16"/>
      <c r="V29" s="16"/>
      <c r="W29" s="16"/>
    </row>
    <row r="30" spans="13:23" x14ac:dyDescent="0.3">
      <c r="M30" s="15" t="s">
        <v>445</v>
      </c>
      <c r="N30" s="14">
        <v>0</v>
      </c>
      <c r="O30" s="14">
        <f>V3</f>
        <v>65.2</v>
      </c>
    </row>
    <row r="31" spans="13:23" x14ac:dyDescent="0.3">
      <c r="M31" s="15"/>
      <c r="N31" s="14">
        <v>100</v>
      </c>
      <c r="O31" s="14">
        <f>V3</f>
        <v>65.2</v>
      </c>
    </row>
    <row r="32" spans="13:23" x14ac:dyDescent="0.3">
      <c r="M32" s="15" t="s">
        <v>467</v>
      </c>
      <c r="N32" s="14">
        <v>0</v>
      </c>
      <c r="O32" s="14">
        <f>W3</f>
        <v>49.6</v>
      </c>
    </row>
    <row r="33" spans="13:15" x14ac:dyDescent="0.3">
      <c r="M33" s="15"/>
      <c r="N33" s="14">
        <v>100</v>
      </c>
      <c r="O33" s="14">
        <f>W3</f>
        <v>49.6</v>
      </c>
    </row>
  </sheetData>
  <mergeCells count="3">
    <mergeCell ref="M2:O2"/>
    <mergeCell ref="Q2:W2"/>
    <mergeCell ref="R23:S23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A91-09F0-4F1A-83CE-ED154D48BE61}">
  <dimension ref="M2:W37"/>
  <sheetViews>
    <sheetView zoomScale="96" zoomScaleNormal="96" workbookViewId="0">
      <selection activeCell="Q30" sqref="Q30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36.36</v>
      </c>
      <c r="S3" s="16">
        <v>70.790000000000006</v>
      </c>
      <c r="T3" s="16">
        <v>20.440000000000001</v>
      </c>
      <c r="U3" s="16">
        <v>29.84</v>
      </c>
      <c r="V3" s="16">
        <v>26.12</v>
      </c>
      <c r="W3" s="16">
        <v>19.829999999999998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39176.92/165030.3*100</f>
        <v>23.73922849319186</v>
      </c>
      <c r="Q5" t="s">
        <v>448</v>
      </c>
      <c r="R5">
        <f>$R$3+P5</f>
        <v>60.099228493191859</v>
      </c>
      <c r="S5">
        <f>$S$3+P5</f>
        <v>94.529228493191866</v>
      </c>
      <c r="T5">
        <f>$T$3+P5</f>
        <v>44.179228493191857</v>
      </c>
      <c r="U5">
        <f>$U$3+P5</f>
        <v>53.579228493191863</v>
      </c>
      <c r="V5">
        <f>$V$3+P5</f>
        <v>49.859228493191864</v>
      </c>
      <c r="W5">
        <f>$W$3+P5</f>
        <v>43.569228493191858</v>
      </c>
    </row>
    <row r="6" spans="13:23" x14ac:dyDescent="0.3">
      <c r="M6" s="15">
        <v>0.8</v>
      </c>
      <c r="N6" s="14">
        <v>0</v>
      </c>
      <c r="O6" s="14">
        <v>80</v>
      </c>
      <c r="P6" s="18">
        <f>18357.7/165030.3*100</f>
        <v>11.123836047077416</v>
      </c>
      <c r="Q6" t="s">
        <v>449</v>
      </c>
      <c r="R6">
        <f t="shared" ref="R6:R12" si="0">$R$3+P6</f>
        <v>47.483836047077418</v>
      </c>
      <c r="S6">
        <f t="shared" ref="S6:S12" si="1">$S$3+P6</f>
        <v>81.913836047077424</v>
      </c>
      <c r="T6">
        <f t="shared" ref="T6:T12" si="2">$T$3+P6</f>
        <v>31.563836047077416</v>
      </c>
      <c r="U6">
        <f>$U$3+P6</f>
        <v>40.963836047077415</v>
      </c>
      <c r="V6">
        <f t="shared" ref="V6:V12" si="3">$V$3+P6</f>
        <v>37.243836047077416</v>
      </c>
      <c r="W6">
        <f t="shared" ref="W6:W12" si="4">$W$3+P6</f>
        <v>30.953836047077417</v>
      </c>
    </row>
    <row r="7" spans="13:23" x14ac:dyDescent="0.3">
      <c r="M7" s="15"/>
      <c r="N7" s="14">
        <v>80</v>
      </c>
      <c r="O7" s="14">
        <v>0</v>
      </c>
      <c r="P7" s="23">
        <f>50570.82/165030.3*100</f>
        <v>30.6433545839764</v>
      </c>
      <c r="Q7" t="s">
        <v>450</v>
      </c>
      <c r="R7">
        <f t="shared" si="0"/>
        <v>67.003354583976403</v>
      </c>
      <c r="S7">
        <f t="shared" si="1"/>
        <v>101.43335458397641</v>
      </c>
      <c r="T7">
        <f t="shared" si="2"/>
        <v>51.083354583976401</v>
      </c>
      <c r="U7">
        <f>$U$3+P7</f>
        <v>60.4833545839764</v>
      </c>
      <c r="V7">
        <f t="shared" si="3"/>
        <v>56.763354583976401</v>
      </c>
      <c r="W7">
        <f t="shared" si="4"/>
        <v>50.473354583976402</v>
      </c>
    </row>
    <row r="8" spans="13:23" x14ac:dyDescent="0.3">
      <c r="M8" s="15">
        <v>1</v>
      </c>
      <c r="N8" s="14">
        <v>0</v>
      </c>
      <c r="O8" s="14">
        <v>100</v>
      </c>
      <c r="P8" s="18">
        <f>75040.94/165030.3*100</f>
        <v>45.471007445299442</v>
      </c>
      <c r="Q8" t="s">
        <v>451</v>
      </c>
      <c r="R8">
        <f t="shared" si="0"/>
        <v>81.831007445299434</v>
      </c>
      <c r="S8">
        <f t="shared" si="1"/>
        <v>116.26100744529944</v>
      </c>
      <c r="T8">
        <f t="shared" si="2"/>
        <v>65.911007445299447</v>
      </c>
      <c r="U8">
        <f t="shared" ref="U8:U12" si="5">$U$3+P8</f>
        <v>75.311007445299438</v>
      </c>
      <c r="V8">
        <f t="shared" si="3"/>
        <v>71.591007445299439</v>
      </c>
      <c r="W8">
        <f t="shared" si="4"/>
        <v>65.301007445299433</v>
      </c>
    </row>
    <row r="9" spans="13:23" x14ac:dyDescent="0.3">
      <c r="M9" s="15"/>
      <c r="N9" s="14">
        <v>100</v>
      </c>
      <c r="O9" s="14">
        <v>0</v>
      </c>
      <c r="P9" s="18">
        <f>20048.3/165030.3*100</f>
        <v>12.148253987298091</v>
      </c>
      <c r="Q9" t="s">
        <v>452</v>
      </c>
      <c r="R9">
        <f t="shared" si="0"/>
        <v>48.50825398729809</v>
      </c>
      <c r="S9">
        <f t="shared" si="1"/>
        <v>82.938253987298097</v>
      </c>
      <c r="T9">
        <f t="shared" si="2"/>
        <v>32.588253987298089</v>
      </c>
      <c r="U9">
        <f t="shared" si="5"/>
        <v>41.988253987298094</v>
      </c>
      <c r="V9">
        <f t="shared" si="3"/>
        <v>38.268253987298095</v>
      </c>
      <c r="W9">
        <f t="shared" si="4"/>
        <v>31.978253987298089</v>
      </c>
    </row>
    <row r="10" spans="13:23" x14ac:dyDescent="0.3">
      <c r="M10" s="15" t="s">
        <v>459</v>
      </c>
      <c r="N10" s="18">
        <f>P5</f>
        <v>23.73922849319186</v>
      </c>
      <c r="O10" s="14">
        <v>0</v>
      </c>
      <c r="P10" s="18">
        <f>20628/165030.3*100</f>
        <v>12.499522814901265</v>
      </c>
      <c r="Q10" t="s">
        <v>453</v>
      </c>
      <c r="R10">
        <f t="shared" si="0"/>
        <v>48.859522814901268</v>
      </c>
      <c r="S10">
        <f t="shared" si="1"/>
        <v>83.289522814901275</v>
      </c>
      <c r="T10">
        <f t="shared" si="2"/>
        <v>32.939522814901267</v>
      </c>
      <c r="U10">
        <f t="shared" si="5"/>
        <v>42.339522814901265</v>
      </c>
      <c r="V10">
        <f t="shared" si="3"/>
        <v>38.619522814901266</v>
      </c>
      <c r="W10">
        <f t="shared" si="4"/>
        <v>32.329522814901267</v>
      </c>
    </row>
    <row r="11" spans="13:23" x14ac:dyDescent="0.3">
      <c r="M11" s="15"/>
      <c r="N11" s="18">
        <f>P5</f>
        <v>23.73922849319186</v>
      </c>
      <c r="O11" s="14">
        <v>100</v>
      </c>
      <c r="P11" s="18">
        <f>548.158/165030.3*100</f>
        <v>0.33215597378178435</v>
      </c>
      <c r="Q11" t="s">
        <v>454</v>
      </c>
      <c r="R11">
        <f t="shared" si="0"/>
        <v>36.692155973781787</v>
      </c>
      <c r="S11">
        <f t="shared" si="1"/>
        <v>71.122155973781787</v>
      </c>
      <c r="T11">
        <f t="shared" si="2"/>
        <v>20.772155973781786</v>
      </c>
      <c r="U11">
        <f t="shared" si="5"/>
        <v>30.172155973781784</v>
      </c>
      <c r="V11">
        <f t="shared" si="3"/>
        <v>26.452155973781785</v>
      </c>
      <c r="W11">
        <f t="shared" si="4"/>
        <v>20.162155973781783</v>
      </c>
    </row>
    <row r="12" spans="13:23" x14ac:dyDescent="0.3">
      <c r="M12" t="s">
        <v>460</v>
      </c>
      <c r="N12" s="18">
        <f>P6</f>
        <v>11.123836047077416</v>
      </c>
      <c r="O12" s="14">
        <v>0</v>
      </c>
      <c r="P12" s="18">
        <f>2667.716/165030.3*100</f>
        <v>1.6165007274421728</v>
      </c>
      <c r="Q12" t="s">
        <v>455</v>
      </c>
      <c r="R12">
        <f t="shared" si="0"/>
        <v>37.976500727442172</v>
      </c>
      <c r="S12">
        <f t="shared" si="1"/>
        <v>72.406500727442179</v>
      </c>
      <c r="T12">
        <f t="shared" si="2"/>
        <v>22.056500727442174</v>
      </c>
      <c r="U12">
        <f t="shared" si="5"/>
        <v>31.456500727442172</v>
      </c>
      <c r="V12">
        <f t="shared" si="3"/>
        <v>27.736500727442174</v>
      </c>
      <c r="W12">
        <f t="shared" si="4"/>
        <v>21.446500727442171</v>
      </c>
    </row>
    <row r="13" spans="13:23" x14ac:dyDescent="0.3">
      <c r="M13" s="15"/>
      <c r="N13" s="18">
        <f>P6</f>
        <v>11.123836047077416</v>
      </c>
      <c r="O13" s="14">
        <v>100</v>
      </c>
    </row>
    <row r="14" spans="13:23" x14ac:dyDescent="0.3">
      <c r="M14" t="s">
        <v>461</v>
      </c>
      <c r="N14" s="18">
        <f>P8</f>
        <v>45.471007445299442</v>
      </c>
      <c r="O14" s="14">
        <v>0</v>
      </c>
    </row>
    <row r="15" spans="13:23" x14ac:dyDescent="0.3">
      <c r="M15" s="15"/>
      <c r="N15" s="18">
        <f>P8</f>
        <v>45.471007445299442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12.148253987298091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P9</f>
        <v>12.148253987298091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12.499522814901265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P10</f>
        <v>12.499522814901265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0.33215597378178435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0.33215597378178435</v>
      </c>
      <c r="O21" s="14">
        <v>100</v>
      </c>
    </row>
    <row r="22" spans="13:23" x14ac:dyDescent="0.3">
      <c r="M22" s="15" t="s">
        <v>472</v>
      </c>
      <c r="N22" s="18">
        <f>P7</f>
        <v>30.6433545839764</v>
      </c>
      <c r="O22" s="14">
        <v>0</v>
      </c>
    </row>
    <row r="23" spans="13:23" x14ac:dyDescent="0.3">
      <c r="M23" s="15"/>
      <c r="N23" s="18">
        <f>P7</f>
        <v>30.6433545839764</v>
      </c>
      <c r="O23" s="14">
        <v>100</v>
      </c>
    </row>
    <row r="24" spans="13:23" x14ac:dyDescent="0.3">
      <c r="M24" s="15" t="s">
        <v>473</v>
      </c>
      <c r="N24" s="18">
        <f>P12</f>
        <v>1.6165007274421728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8">
        <f>P12</f>
        <v>1.6165007274421728</v>
      </c>
      <c r="O25" s="14">
        <v>100</v>
      </c>
      <c r="R25" s="23">
        <f>50570.82/165030.3*100</f>
        <v>30.6433545839764</v>
      </c>
      <c r="S25" s="16">
        <v>70.790000000000006</v>
      </c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f>R3</f>
        <v>36.36</v>
      </c>
      <c r="R26" s="18">
        <f>75040.94/165030.3*100</f>
        <v>45.471007445299442</v>
      </c>
      <c r="S26" s="16">
        <v>70.790000000000006</v>
      </c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f>R3</f>
        <v>36.36</v>
      </c>
      <c r="R27" s="23"/>
      <c r="S27" s="16"/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f>S3</f>
        <v>70.790000000000006</v>
      </c>
      <c r="R28" s="23"/>
      <c r="S28" s="16"/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f>S3</f>
        <v>70.790000000000006</v>
      </c>
      <c r="R29" s="23"/>
      <c r="S29" s="16"/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f>T3</f>
        <v>20.440000000000001</v>
      </c>
      <c r="R30" s="23"/>
      <c r="S30" s="16"/>
    </row>
    <row r="31" spans="13:23" x14ac:dyDescent="0.3">
      <c r="M31" s="19"/>
      <c r="N31" s="14">
        <v>100</v>
      </c>
      <c r="O31" s="16">
        <f>T3</f>
        <v>20.440000000000001</v>
      </c>
      <c r="R31" s="24"/>
      <c r="S31" s="16"/>
    </row>
    <row r="32" spans="13:23" x14ac:dyDescent="0.3">
      <c r="M32" s="15" t="s">
        <v>446</v>
      </c>
      <c r="N32" s="14">
        <v>0</v>
      </c>
      <c r="O32" s="16">
        <f>U3</f>
        <v>29.84</v>
      </c>
      <c r="R32" s="24"/>
      <c r="S32" s="16"/>
    </row>
    <row r="33" spans="13:18" x14ac:dyDescent="0.3">
      <c r="M33" s="15"/>
      <c r="N33" s="14">
        <v>100</v>
      </c>
      <c r="O33" s="16">
        <f>U3</f>
        <v>29.84</v>
      </c>
      <c r="R33" s="25"/>
    </row>
    <row r="34" spans="13:18" x14ac:dyDescent="0.3">
      <c r="M34" s="15" t="s">
        <v>445</v>
      </c>
      <c r="N34" s="14">
        <v>0</v>
      </c>
      <c r="O34" s="16">
        <f>V3</f>
        <v>26.12</v>
      </c>
    </row>
    <row r="35" spans="13:18" x14ac:dyDescent="0.3">
      <c r="M35" s="15"/>
      <c r="N35" s="14">
        <v>100</v>
      </c>
      <c r="O35" s="16">
        <f>V3</f>
        <v>26.12</v>
      </c>
    </row>
    <row r="36" spans="13:18" x14ac:dyDescent="0.3">
      <c r="M36" s="15" t="s">
        <v>467</v>
      </c>
      <c r="N36" s="14">
        <v>0</v>
      </c>
      <c r="O36" s="16">
        <f>W3</f>
        <v>19.829999999999998</v>
      </c>
    </row>
    <row r="37" spans="13:18" x14ac:dyDescent="0.3">
      <c r="M37" s="15"/>
      <c r="N37" s="14">
        <v>100</v>
      </c>
      <c r="O37" s="16">
        <f>W3</f>
        <v>19.829999999999998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6097-EBF6-4E0E-8AD5-A8E4A4842744}">
  <dimension ref="M2:W33"/>
  <sheetViews>
    <sheetView zoomScale="90" zoomScaleNormal="90" workbookViewId="0">
      <selection activeCell="M43" sqref="M43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41.83</v>
      </c>
      <c r="S3" s="16">
        <v>44.16</v>
      </c>
      <c r="T3" s="16">
        <v>49.2</v>
      </c>
      <c r="U3" s="16">
        <v>59.6</v>
      </c>
      <c r="V3" s="16">
        <v>65.2</v>
      </c>
      <c r="W3" s="16">
        <v>49.6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36736/65327*100</f>
        <v>56.23402268587261</v>
      </c>
      <c r="Q5" t="s">
        <v>448</v>
      </c>
      <c r="R5">
        <f t="shared" ref="R5:R12" si="0">$R$3+P5</f>
        <v>98.064022685872601</v>
      </c>
      <c r="S5">
        <f t="shared" ref="S5:S12" si="1">$S$3+P5</f>
        <v>100.39402268587261</v>
      </c>
      <c r="T5">
        <f t="shared" ref="T5:T12" si="2">$T$3+P5</f>
        <v>105.43402268587261</v>
      </c>
      <c r="U5">
        <f>$U$3+P5</f>
        <v>115.83402268587261</v>
      </c>
      <c r="V5">
        <f t="shared" ref="V5:V12" si="3">$V$3+P5</f>
        <v>121.43402268587261</v>
      </c>
      <c r="W5">
        <f>$W$3+P5</f>
        <v>105.83402268587261</v>
      </c>
    </row>
    <row r="6" spans="13:23" x14ac:dyDescent="0.3">
      <c r="M6" s="15">
        <v>0.8</v>
      </c>
      <c r="N6" s="14">
        <v>0</v>
      </c>
      <c r="O6" s="14">
        <v>80</v>
      </c>
      <c r="P6" s="18">
        <f>5115/65327*100</f>
        <v>7.8298406478179015</v>
      </c>
      <c r="Q6" t="s">
        <v>449</v>
      </c>
      <c r="R6">
        <f t="shared" si="0"/>
        <v>49.659840647817902</v>
      </c>
      <c r="S6">
        <f t="shared" si="1"/>
        <v>51.9898406478179</v>
      </c>
      <c r="T6">
        <f t="shared" si="2"/>
        <v>57.029840647817906</v>
      </c>
      <c r="U6">
        <f>$U$3+P6</f>
        <v>67.429840647817898</v>
      </c>
      <c r="V6">
        <f t="shared" si="3"/>
        <v>73.029840647817906</v>
      </c>
      <c r="W6">
        <f t="shared" ref="W6:W12" si="4">$W$3+P6</f>
        <v>57.429840647817905</v>
      </c>
    </row>
    <row r="7" spans="13:23" x14ac:dyDescent="0.3">
      <c r="M7" s="15"/>
      <c r="N7" s="14">
        <v>80</v>
      </c>
      <c r="O7" s="14">
        <v>0</v>
      </c>
      <c r="P7" s="18">
        <v>0</v>
      </c>
      <c r="Q7" t="s">
        <v>450</v>
      </c>
      <c r="R7">
        <f t="shared" si="0"/>
        <v>41.83</v>
      </c>
      <c r="S7">
        <f t="shared" si="1"/>
        <v>44.16</v>
      </c>
      <c r="T7">
        <f t="shared" si="2"/>
        <v>49.2</v>
      </c>
      <c r="U7">
        <f>$U$3+P7</f>
        <v>59.6</v>
      </c>
      <c r="V7">
        <f t="shared" si="3"/>
        <v>65.2</v>
      </c>
      <c r="W7">
        <f t="shared" si="4"/>
        <v>49.6</v>
      </c>
    </row>
    <row r="8" spans="13:23" x14ac:dyDescent="0.3">
      <c r="M8" s="15">
        <v>1</v>
      </c>
      <c r="N8" s="14">
        <v>0</v>
      </c>
      <c r="O8" s="14">
        <v>100</v>
      </c>
      <c r="P8" s="18">
        <f>3166/65327*100</f>
        <v>4.8463881702818128</v>
      </c>
      <c r="Q8" t="s">
        <v>451</v>
      </c>
      <c r="R8">
        <f t="shared" si="0"/>
        <v>46.676388170281811</v>
      </c>
      <c r="S8">
        <f t="shared" si="1"/>
        <v>49.006388170281809</v>
      </c>
      <c r="T8">
        <f t="shared" si="2"/>
        <v>54.046388170281816</v>
      </c>
      <c r="U8">
        <f t="shared" ref="U8:U12" si="5">$U$3+P8</f>
        <v>64.446388170281807</v>
      </c>
      <c r="V8">
        <f t="shared" si="3"/>
        <v>70.046388170281816</v>
      </c>
      <c r="W8">
        <f t="shared" si="4"/>
        <v>54.446388170281814</v>
      </c>
    </row>
    <row r="9" spans="13:23" x14ac:dyDescent="0.3">
      <c r="M9" s="15"/>
      <c r="N9" s="14">
        <v>100</v>
      </c>
      <c r="O9" s="14">
        <v>0</v>
      </c>
      <c r="P9" s="18">
        <f>100/65327*100</f>
        <v>0.15307606349595113</v>
      </c>
      <c r="Q9" t="s">
        <v>452</v>
      </c>
      <c r="R9">
        <f t="shared" si="0"/>
        <v>41.98307606349595</v>
      </c>
      <c r="S9">
        <f t="shared" si="1"/>
        <v>44.313076063495949</v>
      </c>
      <c r="T9">
        <f t="shared" si="2"/>
        <v>49.353076063495955</v>
      </c>
      <c r="U9">
        <f t="shared" si="5"/>
        <v>59.753076063495953</v>
      </c>
      <c r="V9">
        <f t="shared" si="3"/>
        <v>65.353076063495948</v>
      </c>
      <c r="W9">
        <f t="shared" si="4"/>
        <v>49.753076063495953</v>
      </c>
    </row>
    <row r="10" spans="13:23" x14ac:dyDescent="0.3">
      <c r="M10" s="15" t="s">
        <v>459</v>
      </c>
      <c r="N10" s="14">
        <f>36736/65327*100</f>
        <v>56.23402268587261</v>
      </c>
      <c r="O10" s="14">
        <v>0</v>
      </c>
      <c r="P10" s="18">
        <f>190.2/65327*100</f>
        <v>0.29115067276929907</v>
      </c>
      <c r="Q10" t="s">
        <v>453</v>
      </c>
      <c r="R10">
        <f t="shared" si="0"/>
        <v>42.121150672769296</v>
      </c>
      <c r="S10">
        <f t="shared" si="1"/>
        <v>44.451150672769295</v>
      </c>
      <c r="T10">
        <f t="shared" si="2"/>
        <v>49.491150672769301</v>
      </c>
      <c r="U10">
        <f t="shared" si="5"/>
        <v>59.891150672769299</v>
      </c>
      <c r="V10">
        <f t="shared" si="3"/>
        <v>65.491150672769308</v>
      </c>
      <c r="W10">
        <f t="shared" si="4"/>
        <v>49.891150672769299</v>
      </c>
    </row>
    <row r="11" spans="13:23" x14ac:dyDescent="0.3">
      <c r="M11" s="15"/>
      <c r="N11" s="14">
        <f>36736/65327*100</f>
        <v>56.23402268587261</v>
      </c>
      <c r="O11" s="14">
        <v>100</v>
      </c>
      <c r="P11" s="18">
        <f>50/65327*100</f>
        <v>7.6538031747975563E-2</v>
      </c>
      <c r="Q11" t="s">
        <v>454</v>
      </c>
      <c r="R11">
        <f t="shared" si="0"/>
        <v>41.906538031747971</v>
      </c>
      <c r="S11">
        <f t="shared" si="1"/>
        <v>44.236538031747969</v>
      </c>
      <c r="T11">
        <f t="shared" si="2"/>
        <v>49.276538031747975</v>
      </c>
      <c r="U11">
        <f t="shared" si="5"/>
        <v>59.676538031747974</v>
      </c>
      <c r="V11">
        <f t="shared" si="3"/>
        <v>65.276538031747975</v>
      </c>
      <c r="W11">
        <f t="shared" si="4"/>
        <v>49.676538031747974</v>
      </c>
    </row>
    <row r="12" spans="13:23" x14ac:dyDescent="0.3">
      <c r="M12" t="s">
        <v>460</v>
      </c>
      <c r="N12" s="14">
        <f>5115/65327*100</f>
        <v>7.8298406478179015</v>
      </c>
      <c r="O12" s="14">
        <v>0</v>
      </c>
      <c r="P12" s="18">
        <v>0</v>
      </c>
      <c r="Q12" t="s">
        <v>455</v>
      </c>
      <c r="R12">
        <f t="shared" si="0"/>
        <v>41.83</v>
      </c>
      <c r="S12">
        <f t="shared" si="1"/>
        <v>44.16</v>
      </c>
      <c r="T12">
        <f t="shared" si="2"/>
        <v>49.2</v>
      </c>
      <c r="U12">
        <f t="shared" si="5"/>
        <v>59.6</v>
      </c>
      <c r="V12">
        <f t="shared" si="3"/>
        <v>65.2</v>
      </c>
      <c r="W12">
        <f t="shared" si="4"/>
        <v>49.6</v>
      </c>
    </row>
    <row r="13" spans="13:23" x14ac:dyDescent="0.3">
      <c r="M13" s="15"/>
      <c r="N13" s="14">
        <f>5115/65327*100</f>
        <v>7.8298406478179015</v>
      </c>
      <c r="O13" s="14">
        <v>100</v>
      </c>
    </row>
    <row r="14" spans="13:23" x14ac:dyDescent="0.3">
      <c r="M14" t="s">
        <v>461</v>
      </c>
      <c r="N14" s="14">
        <f>3166/65327*100</f>
        <v>4.8463881702818128</v>
      </c>
      <c r="O14" s="14">
        <v>0</v>
      </c>
    </row>
    <row r="15" spans="13:23" x14ac:dyDescent="0.3">
      <c r="M15" s="15"/>
      <c r="N15" s="14">
        <f>3166/65327*100</f>
        <v>4.8463881702818128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4">
        <f>100/65327*100</f>
        <v>0.15307606349595113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4">
        <f>100/65327*100</f>
        <v>0.15307606349595113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4">
        <f>190.2/65327*100</f>
        <v>0.29115067276929907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4">
        <f>190.2/65327*100</f>
        <v>0.29115067276929907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4">
        <f>50/65327*100</f>
        <v>7.6538031747975563E-2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4">
        <f>50/65327*100</f>
        <v>7.6538031747975563E-2</v>
      </c>
      <c r="O21" s="14">
        <v>100</v>
      </c>
    </row>
    <row r="22" spans="13:23" x14ac:dyDescent="0.3">
      <c r="M22" s="15" t="s">
        <v>465</v>
      </c>
      <c r="N22" s="14">
        <v>0</v>
      </c>
      <c r="O22" s="14">
        <v>41.83</v>
      </c>
    </row>
    <row r="23" spans="13:23" x14ac:dyDescent="0.3">
      <c r="M23" s="15"/>
      <c r="N23" s="14">
        <v>100</v>
      </c>
      <c r="O23" s="14">
        <v>41.83</v>
      </c>
    </row>
    <row r="24" spans="13:23" x14ac:dyDescent="0.3">
      <c r="M24" s="15" t="s">
        <v>443</v>
      </c>
      <c r="N24" s="14">
        <v>0</v>
      </c>
      <c r="O24" s="14">
        <v>44.16</v>
      </c>
      <c r="R24" s="16"/>
      <c r="S24" s="16"/>
      <c r="T24" s="16"/>
      <c r="U24" s="16"/>
      <c r="V24" s="16"/>
      <c r="W24" s="16"/>
    </row>
    <row r="25" spans="13:23" x14ac:dyDescent="0.3">
      <c r="M25" s="15"/>
      <c r="N25" s="14">
        <v>100</v>
      </c>
      <c r="O25" s="14">
        <v>44.16</v>
      </c>
      <c r="R25" s="16">
        <f t="shared" ref="R25:R29" si="6">36736/65327*100</f>
        <v>56.23402268587261</v>
      </c>
      <c r="S25" s="16">
        <v>44.16</v>
      </c>
      <c r="T25" s="16"/>
      <c r="U25" s="16"/>
      <c r="V25" s="16"/>
      <c r="W25" s="16"/>
    </row>
    <row r="26" spans="13:23" x14ac:dyDescent="0.3">
      <c r="M26" s="20" t="s">
        <v>466</v>
      </c>
      <c r="N26" s="14">
        <v>0</v>
      </c>
      <c r="O26" s="14">
        <v>49.2</v>
      </c>
      <c r="R26" s="16">
        <f t="shared" si="6"/>
        <v>56.23402268587261</v>
      </c>
      <c r="S26" s="16">
        <v>49.2</v>
      </c>
      <c r="T26" s="16"/>
      <c r="U26" s="16"/>
      <c r="V26" s="16"/>
      <c r="W26" s="16"/>
    </row>
    <row r="27" spans="13:23" x14ac:dyDescent="0.3">
      <c r="M27" s="19"/>
      <c r="N27" s="14">
        <v>100</v>
      </c>
      <c r="O27" s="14">
        <v>49.2</v>
      </c>
      <c r="R27" s="16">
        <f t="shared" si="6"/>
        <v>56.23402268587261</v>
      </c>
      <c r="S27" s="16">
        <v>59.6</v>
      </c>
      <c r="T27" s="16"/>
      <c r="U27" s="16"/>
      <c r="V27" s="16"/>
      <c r="W27" s="16"/>
    </row>
    <row r="28" spans="13:23" x14ac:dyDescent="0.3">
      <c r="M28" s="15" t="s">
        <v>446</v>
      </c>
      <c r="N28" s="14">
        <v>0</v>
      </c>
      <c r="O28" s="14">
        <v>59.6</v>
      </c>
      <c r="R28" s="16">
        <f t="shared" si="6"/>
        <v>56.23402268587261</v>
      </c>
      <c r="S28" s="16">
        <v>65.2</v>
      </c>
      <c r="T28" s="16"/>
      <c r="U28" s="16"/>
      <c r="V28" s="16"/>
      <c r="W28" s="16"/>
    </row>
    <row r="29" spans="13:23" x14ac:dyDescent="0.3">
      <c r="M29" s="15"/>
      <c r="N29" s="14">
        <v>100</v>
      </c>
      <c r="O29" s="14">
        <v>59.6</v>
      </c>
      <c r="R29" s="16">
        <f t="shared" si="6"/>
        <v>56.23402268587261</v>
      </c>
      <c r="S29" s="16">
        <v>49.6</v>
      </c>
      <c r="T29" s="16"/>
      <c r="U29" s="16"/>
      <c r="V29" s="16"/>
      <c r="W29" s="16"/>
    </row>
    <row r="30" spans="13:23" x14ac:dyDescent="0.3">
      <c r="M30" s="15" t="s">
        <v>445</v>
      </c>
      <c r="N30" s="14">
        <v>0</v>
      </c>
      <c r="O30" s="14">
        <v>65.2</v>
      </c>
    </row>
    <row r="31" spans="13:23" x14ac:dyDescent="0.3">
      <c r="M31" s="15"/>
      <c r="N31" s="14">
        <v>100</v>
      </c>
      <c r="O31" s="14">
        <v>65.2</v>
      </c>
    </row>
    <row r="32" spans="13:23" x14ac:dyDescent="0.3">
      <c r="M32" s="15" t="s">
        <v>467</v>
      </c>
      <c r="N32" s="14">
        <v>0</v>
      </c>
      <c r="O32" s="14">
        <v>49.6</v>
      </c>
    </row>
    <row r="33" spans="13:15" x14ac:dyDescent="0.3">
      <c r="M33" s="15"/>
      <c r="N33" s="14">
        <v>100</v>
      </c>
      <c r="O33" s="14">
        <v>49.6</v>
      </c>
    </row>
  </sheetData>
  <mergeCells count="2">
    <mergeCell ref="M2:O2"/>
    <mergeCell ref="Q2:W2"/>
  </mergeCells>
  <phoneticPr fontId="7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B6948-0B50-4AC1-BD27-82FAC391F3C8}">
  <dimension ref="M2:W37"/>
  <sheetViews>
    <sheetView zoomScale="96" zoomScaleNormal="96" workbookViewId="0">
      <selection activeCell="R24" sqref="R24:S24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31.64</v>
      </c>
      <c r="S3" s="16">
        <v>73.375</v>
      </c>
      <c r="T3" s="16">
        <v>16.64</v>
      </c>
      <c r="U3" s="16">
        <v>21.64</v>
      </c>
      <c r="V3" s="16">
        <v>31.64</v>
      </c>
      <c r="W3" s="16">
        <v>19.14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70169.4/343705*100</f>
        <v>20.415588949826159</v>
      </c>
      <c r="Q5" t="s">
        <v>448</v>
      </c>
      <c r="R5">
        <f>$R$3+P5</f>
        <v>52.055588949826159</v>
      </c>
      <c r="S5">
        <f>$S$3+P5</f>
        <v>93.790588949826159</v>
      </c>
      <c r="T5">
        <f>$T$3+P5</f>
        <v>37.055588949826159</v>
      </c>
      <c r="U5">
        <f>$U$3+P5</f>
        <v>42.055588949826159</v>
      </c>
      <c r="V5">
        <f>$V$3+P5</f>
        <v>52.055588949826159</v>
      </c>
      <c r="W5">
        <f>$W$3+P5</f>
        <v>39.555588949826159</v>
      </c>
    </row>
    <row r="6" spans="13:23" x14ac:dyDescent="0.3">
      <c r="M6" s="15">
        <v>0.8</v>
      </c>
      <c r="N6" s="14">
        <v>0</v>
      </c>
      <c r="O6" s="14">
        <v>80</v>
      </c>
      <c r="P6" s="18">
        <f>22368.48/343705*100</f>
        <v>6.5080461442225168</v>
      </c>
      <c r="Q6" t="s">
        <v>449</v>
      </c>
      <c r="R6">
        <f t="shared" ref="R6:R12" si="0">$R$3+P6</f>
        <v>38.148046144222519</v>
      </c>
      <c r="S6">
        <f t="shared" ref="S6:S12" si="1">$S$3+P6</f>
        <v>79.883046144222519</v>
      </c>
      <c r="T6">
        <f t="shared" ref="T6:T12" si="2">$T$3+P6</f>
        <v>23.148046144222519</v>
      </c>
      <c r="U6">
        <f>$U$3+P6</f>
        <v>28.148046144222519</v>
      </c>
      <c r="V6">
        <f t="shared" ref="V6:V12" si="3">$V$3+P6</f>
        <v>38.148046144222519</v>
      </c>
      <c r="W6">
        <f t="shared" ref="W6:W12" si="4">$W$3+P6</f>
        <v>25.648046144222519</v>
      </c>
    </row>
    <row r="7" spans="13:23" x14ac:dyDescent="0.3">
      <c r="M7" s="15"/>
      <c r="N7" s="14">
        <v>80</v>
      </c>
      <c r="O7" s="14">
        <v>0</v>
      </c>
      <c r="P7" s="22">
        <v>99.9</v>
      </c>
      <c r="Q7" t="s">
        <v>450</v>
      </c>
      <c r="R7">
        <f t="shared" si="0"/>
        <v>131.54000000000002</v>
      </c>
      <c r="S7">
        <f t="shared" si="1"/>
        <v>173.27500000000001</v>
      </c>
      <c r="T7">
        <f t="shared" si="2"/>
        <v>116.54</v>
      </c>
      <c r="U7">
        <f>$U$3+P7</f>
        <v>121.54</v>
      </c>
      <c r="V7">
        <f t="shared" si="3"/>
        <v>131.54000000000002</v>
      </c>
      <c r="W7">
        <f t="shared" si="4"/>
        <v>119.04</v>
      </c>
    </row>
    <row r="8" spans="13:23" x14ac:dyDescent="0.3">
      <c r="M8" s="15">
        <v>1</v>
      </c>
      <c r="N8" s="14">
        <v>0</v>
      </c>
      <c r="O8" s="14">
        <v>100</v>
      </c>
      <c r="P8" s="18">
        <f>145438.5/343705*100</f>
        <v>42.31492122605141</v>
      </c>
      <c r="Q8" t="s">
        <v>451</v>
      </c>
      <c r="R8">
        <f t="shared" si="0"/>
        <v>73.954921226051411</v>
      </c>
      <c r="S8">
        <f t="shared" si="1"/>
        <v>115.68992122605141</v>
      </c>
      <c r="T8">
        <f t="shared" si="2"/>
        <v>58.954921226051411</v>
      </c>
      <c r="U8">
        <f t="shared" ref="U8:U12" si="5">$U$3+P8</f>
        <v>63.954921226051411</v>
      </c>
      <c r="V8">
        <f t="shared" si="3"/>
        <v>73.954921226051411</v>
      </c>
      <c r="W8">
        <f t="shared" si="4"/>
        <v>61.454921226051411</v>
      </c>
    </row>
    <row r="9" spans="13:23" x14ac:dyDescent="0.3">
      <c r="M9" s="15"/>
      <c r="N9" s="14">
        <v>100</v>
      </c>
      <c r="O9" s="14">
        <v>0</v>
      </c>
      <c r="P9" s="18">
        <f>88239.83/343705*100</f>
        <v>25.673129573325966</v>
      </c>
      <c r="Q9" t="s">
        <v>452</v>
      </c>
      <c r="R9">
        <f t="shared" si="0"/>
        <v>57.313129573325966</v>
      </c>
      <c r="S9">
        <f t="shared" si="1"/>
        <v>99.048129573325966</v>
      </c>
      <c r="T9">
        <f t="shared" si="2"/>
        <v>42.313129573325966</v>
      </c>
      <c r="U9">
        <f t="shared" si="5"/>
        <v>47.313129573325966</v>
      </c>
      <c r="V9">
        <f t="shared" si="3"/>
        <v>57.313129573325966</v>
      </c>
      <c r="W9">
        <f t="shared" si="4"/>
        <v>44.813129573325966</v>
      </c>
    </row>
    <row r="10" spans="13:23" x14ac:dyDescent="0.3">
      <c r="M10" s="15" t="s">
        <v>459</v>
      </c>
      <c r="N10" s="18">
        <f>70169.4/343705*100</f>
        <v>20.415588949826159</v>
      </c>
      <c r="O10" s="14">
        <v>0</v>
      </c>
      <c r="P10" s="18">
        <f>159208/343705*100</f>
        <v>46.321118400954312</v>
      </c>
      <c r="Q10" t="s">
        <v>453</v>
      </c>
      <c r="R10">
        <f t="shared" si="0"/>
        <v>77.961118400954319</v>
      </c>
      <c r="S10">
        <f t="shared" si="1"/>
        <v>119.6961184009543</v>
      </c>
      <c r="T10">
        <f t="shared" si="2"/>
        <v>62.961118400954312</v>
      </c>
      <c r="U10">
        <f t="shared" si="5"/>
        <v>67.961118400954319</v>
      </c>
      <c r="V10">
        <f t="shared" si="3"/>
        <v>77.961118400954319</v>
      </c>
      <c r="W10">
        <f t="shared" si="4"/>
        <v>65.461118400954319</v>
      </c>
    </row>
    <row r="11" spans="13:23" x14ac:dyDescent="0.3">
      <c r="M11" s="15"/>
      <c r="N11" s="18">
        <f>70169.4/343705*100</f>
        <v>20.415588949826159</v>
      </c>
      <c r="O11" s="14">
        <v>100</v>
      </c>
      <c r="P11" s="18">
        <f>548.58/343705*100</f>
        <v>0.15960780320332846</v>
      </c>
      <c r="Q11" t="s">
        <v>454</v>
      </c>
      <c r="R11">
        <f t="shared" si="0"/>
        <v>31.79960780320333</v>
      </c>
      <c r="S11">
        <f t="shared" si="1"/>
        <v>73.534607803203329</v>
      </c>
      <c r="T11">
        <f t="shared" si="2"/>
        <v>16.79960780320333</v>
      </c>
      <c r="U11">
        <f t="shared" si="5"/>
        <v>21.79960780320333</v>
      </c>
      <c r="V11">
        <f t="shared" si="3"/>
        <v>31.79960780320333</v>
      </c>
      <c r="W11">
        <f t="shared" si="4"/>
        <v>19.29960780320333</v>
      </c>
    </row>
    <row r="12" spans="13:23" x14ac:dyDescent="0.3">
      <c r="M12" t="s">
        <v>460</v>
      </c>
      <c r="N12" s="18">
        <f>22368.48/343705*100</f>
        <v>6.5080461442225168</v>
      </c>
      <c r="O12" s="14">
        <v>0</v>
      </c>
      <c r="P12" s="18">
        <f>10620/343705*100</f>
        <v>3.0898590360919975</v>
      </c>
      <c r="Q12" t="s">
        <v>455</v>
      </c>
      <c r="R12">
        <f t="shared" si="0"/>
        <v>34.729859036091995</v>
      </c>
      <c r="S12">
        <f t="shared" si="1"/>
        <v>76.464859036091994</v>
      </c>
      <c r="T12">
        <f t="shared" si="2"/>
        <v>19.729859036091998</v>
      </c>
      <c r="U12">
        <f t="shared" si="5"/>
        <v>24.729859036091998</v>
      </c>
      <c r="V12">
        <f t="shared" si="3"/>
        <v>34.729859036091995</v>
      </c>
      <c r="W12">
        <f t="shared" si="4"/>
        <v>22.229859036091998</v>
      </c>
    </row>
    <row r="13" spans="13:23" x14ac:dyDescent="0.3">
      <c r="M13" s="15"/>
      <c r="N13" s="18">
        <f>22368.48/343705*100</f>
        <v>6.5080461442225168</v>
      </c>
      <c r="O13" s="14">
        <v>100</v>
      </c>
    </row>
    <row r="14" spans="13:23" x14ac:dyDescent="0.3">
      <c r="M14" t="s">
        <v>461</v>
      </c>
      <c r="N14" s="18">
        <f>145438.5/343705*100</f>
        <v>42.31492122605141</v>
      </c>
      <c r="O14" s="14">
        <v>0</v>
      </c>
      <c r="Q14" s="22">
        <f>594500/343705*100</f>
        <v>172.9680976418731</v>
      </c>
      <c r="R14" t="s">
        <v>474</v>
      </c>
    </row>
    <row r="15" spans="13:23" x14ac:dyDescent="0.3">
      <c r="M15" s="15"/>
      <c r="N15" s="18">
        <f>145438.5/343705*100</f>
        <v>42.31492122605141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88239.83/343705*100</f>
        <v>25.673129573325966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88239.83/343705*100</f>
        <v>25.673129573325966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159208/343705*100</f>
        <v>46.321118400954312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159208/343705*100</f>
        <v>46.321118400954312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4">
        <f>P11</f>
        <v>0.15960780320332846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4">
        <f>P11</f>
        <v>0.15960780320332846</v>
      </c>
      <c r="O21" s="14">
        <v>100</v>
      </c>
    </row>
    <row r="22" spans="13:23" x14ac:dyDescent="0.3">
      <c r="M22" s="15" t="s">
        <v>472</v>
      </c>
      <c r="N22" s="18">
        <f>P7</f>
        <v>99.9</v>
      </c>
      <c r="O22" s="14">
        <v>0</v>
      </c>
    </row>
    <row r="23" spans="13:23" x14ac:dyDescent="0.3">
      <c r="M23" s="15"/>
      <c r="N23" s="18">
        <f>P7</f>
        <v>99.9</v>
      </c>
      <c r="O23" s="14">
        <v>100</v>
      </c>
    </row>
    <row r="24" spans="13:23" x14ac:dyDescent="0.3">
      <c r="M24" s="15" t="s">
        <v>473</v>
      </c>
      <c r="N24" s="14">
        <f>P12</f>
        <v>3.0898590360919975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4">
        <f>P12</f>
        <v>3.0898590360919975</v>
      </c>
      <c r="O25" s="14">
        <v>100</v>
      </c>
      <c r="R25" s="23">
        <v>99.9</v>
      </c>
      <c r="S25" s="16">
        <v>31.64</v>
      </c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v>31.64</v>
      </c>
      <c r="R26" s="23">
        <v>99.9</v>
      </c>
      <c r="S26" s="16">
        <v>73.375</v>
      </c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v>31.64</v>
      </c>
      <c r="R27" s="23">
        <v>99.9</v>
      </c>
      <c r="S27" s="16">
        <v>16.64</v>
      </c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v>73.375</v>
      </c>
      <c r="R28" s="23">
        <v>99.9</v>
      </c>
      <c r="S28" s="16">
        <v>21.64</v>
      </c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v>73.375</v>
      </c>
      <c r="R29" s="23">
        <v>99.9</v>
      </c>
      <c r="S29" s="16">
        <v>31.64</v>
      </c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v>16.64</v>
      </c>
      <c r="R30" s="23">
        <v>99.9</v>
      </c>
      <c r="S30" s="16">
        <v>19.14</v>
      </c>
    </row>
    <row r="31" spans="13:23" x14ac:dyDescent="0.3">
      <c r="M31" s="19"/>
      <c r="N31" s="14">
        <v>100</v>
      </c>
      <c r="O31" s="16">
        <v>16.64</v>
      </c>
      <c r="R31" s="24">
        <f>145438.5/343705*100</f>
        <v>42.31492122605141</v>
      </c>
      <c r="S31" s="16">
        <v>73.375</v>
      </c>
    </row>
    <row r="32" spans="13:23" x14ac:dyDescent="0.3">
      <c r="M32" s="15" t="s">
        <v>446</v>
      </c>
      <c r="N32" s="14">
        <v>0</v>
      </c>
      <c r="O32" s="16">
        <v>21.64</v>
      </c>
      <c r="R32" s="24">
        <f>159208/343705*100</f>
        <v>46.321118400954312</v>
      </c>
      <c r="S32" s="16">
        <v>73.375</v>
      </c>
    </row>
    <row r="33" spans="13:18" x14ac:dyDescent="0.3">
      <c r="M33" s="15"/>
      <c r="N33" s="14">
        <v>100</v>
      </c>
      <c r="O33" s="16">
        <v>21.64</v>
      </c>
      <c r="R33" s="25"/>
    </row>
    <row r="34" spans="13:18" x14ac:dyDescent="0.3">
      <c r="M34" s="15" t="s">
        <v>445</v>
      </c>
      <c r="N34" s="14">
        <v>0</v>
      </c>
      <c r="O34" s="16">
        <v>31.64</v>
      </c>
    </row>
    <row r="35" spans="13:18" x14ac:dyDescent="0.3">
      <c r="M35" s="15"/>
      <c r="N35" s="14">
        <v>100</v>
      </c>
      <c r="O35" s="16">
        <v>31.64</v>
      </c>
    </row>
    <row r="36" spans="13:18" x14ac:dyDescent="0.3">
      <c r="M36" s="15" t="s">
        <v>467</v>
      </c>
      <c r="N36" s="14">
        <v>0</v>
      </c>
      <c r="O36" s="16">
        <v>19.14</v>
      </c>
    </row>
    <row r="37" spans="13:18" x14ac:dyDescent="0.3">
      <c r="M37" s="15"/>
      <c r="N37" s="14">
        <v>100</v>
      </c>
      <c r="O37" s="16">
        <v>19.14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99B2-D759-4FB1-B378-961021BA312E}">
  <dimension ref="M2:W37"/>
  <sheetViews>
    <sheetView tabSelected="1" zoomScaleNormal="100" workbookViewId="0">
      <selection activeCell="Q36" sqref="Q36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31.64</v>
      </c>
      <c r="S3" s="16">
        <v>73.375</v>
      </c>
      <c r="T3" s="16">
        <v>16.64</v>
      </c>
      <c r="U3" s="16">
        <v>21.64</v>
      </c>
      <c r="V3" s="16">
        <v>31.64</v>
      </c>
      <c r="W3" s="16">
        <v>19.14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35000/122500*100</f>
        <v>28.571428571428569</v>
      </c>
      <c r="Q5" t="s">
        <v>448</v>
      </c>
      <c r="R5">
        <f>$R$3+P5</f>
        <v>60.21142857142857</v>
      </c>
      <c r="S5">
        <f>$S$3+P5</f>
        <v>101.94642857142857</v>
      </c>
      <c r="T5">
        <f>$T$3+P5</f>
        <v>45.21142857142857</v>
      </c>
      <c r="U5">
        <f>$U$3+P5</f>
        <v>50.21142857142857</v>
      </c>
      <c r="V5">
        <f>$V$3+P5</f>
        <v>60.21142857142857</v>
      </c>
      <c r="W5">
        <f>$W$3+P5</f>
        <v>47.71142857142857</v>
      </c>
    </row>
    <row r="6" spans="13:23" x14ac:dyDescent="0.3">
      <c r="M6" s="15">
        <v>0.8</v>
      </c>
      <c r="N6" s="14">
        <v>0</v>
      </c>
      <c r="O6" s="14">
        <v>80</v>
      </c>
      <c r="P6" s="18">
        <f>5000/122500*100</f>
        <v>4.0816326530612246</v>
      </c>
      <c r="Q6" t="s">
        <v>449</v>
      </c>
      <c r="R6">
        <f t="shared" ref="R6:R12" si="0">$R$3+P6</f>
        <v>35.721632653061228</v>
      </c>
      <c r="S6">
        <f t="shared" ref="S6:S12" si="1">$S$3+P6</f>
        <v>77.45663265306122</v>
      </c>
      <c r="T6">
        <f t="shared" ref="T6:T12" si="2">$T$3+P6</f>
        <v>20.721632653061224</v>
      </c>
      <c r="U6">
        <f>$U$3+P6</f>
        <v>25.721632653061224</v>
      </c>
      <c r="V6">
        <f t="shared" ref="V6:V12" si="3">$V$3+P6</f>
        <v>35.721632653061228</v>
      </c>
      <c r="W6">
        <f t="shared" ref="W6:W12" si="4">$W$3+P6</f>
        <v>23.221632653061224</v>
      </c>
    </row>
    <row r="7" spans="13:23" x14ac:dyDescent="0.3">
      <c r="M7" s="15"/>
      <c r="N7" s="14">
        <v>80</v>
      </c>
      <c r="O7" s="14">
        <v>0</v>
      </c>
      <c r="P7" s="22">
        <v>99.9</v>
      </c>
      <c r="Q7" t="s">
        <v>450</v>
      </c>
      <c r="R7">
        <f t="shared" si="0"/>
        <v>131.54000000000002</v>
      </c>
      <c r="S7">
        <f t="shared" si="1"/>
        <v>173.27500000000001</v>
      </c>
      <c r="T7">
        <f t="shared" si="2"/>
        <v>116.54</v>
      </c>
      <c r="U7">
        <f>$U$3+P7</f>
        <v>121.54</v>
      </c>
      <c r="V7">
        <f t="shared" si="3"/>
        <v>131.54000000000002</v>
      </c>
      <c r="W7">
        <f t="shared" si="4"/>
        <v>119.04</v>
      </c>
    </row>
    <row r="8" spans="13:23" x14ac:dyDescent="0.3">
      <c r="M8" s="15">
        <v>1</v>
      </c>
      <c r="N8" s="14">
        <v>0</v>
      </c>
      <c r="O8" s="14">
        <v>100</v>
      </c>
      <c r="P8" s="18">
        <f>5000/122500*100</f>
        <v>4.0816326530612246</v>
      </c>
      <c r="Q8" t="s">
        <v>451</v>
      </c>
      <c r="R8">
        <f t="shared" si="0"/>
        <v>35.721632653061228</v>
      </c>
      <c r="S8">
        <f t="shared" si="1"/>
        <v>77.45663265306122</v>
      </c>
      <c r="T8">
        <f t="shared" si="2"/>
        <v>20.721632653061224</v>
      </c>
      <c r="U8">
        <f t="shared" ref="U8:U12" si="5">$U$3+P8</f>
        <v>25.721632653061224</v>
      </c>
      <c r="V8">
        <f t="shared" si="3"/>
        <v>35.721632653061228</v>
      </c>
      <c r="W8">
        <f t="shared" si="4"/>
        <v>23.221632653061224</v>
      </c>
    </row>
    <row r="9" spans="13:23" x14ac:dyDescent="0.3">
      <c r="M9" s="15"/>
      <c r="N9" s="14">
        <v>100</v>
      </c>
      <c r="O9" s="14">
        <v>0</v>
      </c>
      <c r="P9" s="18">
        <f>3000/122500*100</f>
        <v>2.4489795918367347</v>
      </c>
      <c r="Q9" t="s">
        <v>452</v>
      </c>
      <c r="R9">
        <f t="shared" si="0"/>
        <v>34.088979591836733</v>
      </c>
      <c r="S9">
        <f t="shared" si="1"/>
        <v>75.823979591836732</v>
      </c>
      <c r="T9">
        <f t="shared" si="2"/>
        <v>19.088979591836736</v>
      </c>
      <c r="U9">
        <f t="shared" si="5"/>
        <v>24.088979591836736</v>
      </c>
      <c r="V9">
        <f t="shared" si="3"/>
        <v>34.088979591836733</v>
      </c>
      <c r="W9">
        <f t="shared" si="4"/>
        <v>21.588979591836736</v>
      </c>
    </row>
    <row r="10" spans="13:23" x14ac:dyDescent="0.3">
      <c r="M10" s="15" t="s">
        <v>459</v>
      </c>
      <c r="N10" s="18">
        <f>P5</f>
        <v>28.571428571428569</v>
      </c>
      <c r="O10" s="14">
        <v>0</v>
      </c>
      <c r="P10" s="18">
        <f>6397/122500*100</f>
        <v>5.2220408163265306</v>
      </c>
      <c r="Q10" t="s">
        <v>453</v>
      </c>
      <c r="R10">
        <f t="shared" si="0"/>
        <v>36.862040816326534</v>
      </c>
      <c r="S10">
        <f t="shared" si="1"/>
        <v>78.597040816326526</v>
      </c>
      <c r="T10">
        <f t="shared" si="2"/>
        <v>21.86204081632653</v>
      </c>
      <c r="U10">
        <f t="shared" si="5"/>
        <v>26.86204081632653</v>
      </c>
      <c r="V10">
        <f t="shared" si="3"/>
        <v>36.862040816326534</v>
      </c>
      <c r="W10">
        <f t="shared" si="4"/>
        <v>24.36204081632653</v>
      </c>
    </row>
    <row r="11" spans="13:23" x14ac:dyDescent="0.3">
      <c r="M11" s="15"/>
      <c r="N11" s="18">
        <f>P5</f>
        <v>28.571428571428569</v>
      </c>
      <c r="O11" s="14">
        <v>100</v>
      </c>
      <c r="P11" s="18">
        <f>340.5/122500*100</f>
        <v>0.27795918367346939</v>
      </c>
      <c r="Q11" t="s">
        <v>454</v>
      </c>
      <c r="R11">
        <f t="shared" si="0"/>
        <v>31.917959183673471</v>
      </c>
      <c r="S11">
        <f t="shared" si="1"/>
        <v>73.652959183673474</v>
      </c>
      <c r="T11">
        <f t="shared" si="2"/>
        <v>16.917959183673471</v>
      </c>
      <c r="U11">
        <f t="shared" si="5"/>
        <v>21.917959183673471</v>
      </c>
      <c r="V11">
        <f t="shared" si="3"/>
        <v>31.917959183673471</v>
      </c>
      <c r="W11">
        <f t="shared" si="4"/>
        <v>19.417959183673471</v>
      </c>
    </row>
    <row r="12" spans="13:23" x14ac:dyDescent="0.3">
      <c r="M12" t="s">
        <v>460</v>
      </c>
      <c r="N12" s="18">
        <f>P6</f>
        <v>4.0816326530612246</v>
      </c>
      <c r="O12" s="14">
        <v>0</v>
      </c>
      <c r="P12" s="18">
        <f>7000/122500*100</f>
        <v>5.7142857142857144</v>
      </c>
      <c r="Q12" t="s">
        <v>455</v>
      </c>
      <c r="R12">
        <f t="shared" si="0"/>
        <v>37.354285714285716</v>
      </c>
      <c r="S12">
        <f t="shared" si="1"/>
        <v>79.089285714285708</v>
      </c>
      <c r="T12">
        <f t="shared" si="2"/>
        <v>22.354285714285716</v>
      </c>
      <c r="U12">
        <f t="shared" si="5"/>
        <v>27.354285714285716</v>
      </c>
      <c r="V12">
        <f t="shared" si="3"/>
        <v>37.354285714285716</v>
      </c>
      <c r="W12">
        <f t="shared" si="4"/>
        <v>24.854285714285716</v>
      </c>
    </row>
    <row r="13" spans="13:23" x14ac:dyDescent="0.3">
      <c r="M13" s="15"/>
      <c r="N13" s="18">
        <f>P6</f>
        <v>4.0816326530612246</v>
      </c>
      <c r="O13" s="14">
        <v>100</v>
      </c>
    </row>
    <row r="14" spans="13:23" x14ac:dyDescent="0.3">
      <c r="M14" t="s">
        <v>461</v>
      </c>
      <c r="N14" s="18">
        <f>P8</f>
        <v>4.0816326530612246</v>
      </c>
      <c r="O14" s="14">
        <v>0</v>
      </c>
      <c r="Q14" s="22">
        <f>283500/122500*100</f>
        <v>231.42857142857144</v>
      </c>
    </row>
    <row r="15" spans="13:23" x14ac:dyDescent="0.3">
      <c r="M15" s="15"/>
      <c r="N15" s="18">
        <f>P8</f>
        <v>4.0816326530612246</v>
      </c>
      <c r="O15" s="14">
        <v>100</v>
      </c>
      <c r="Q15" t="s">
        <v>495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2.4489795918367347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P9</f>
        <v>2.4489795918367347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5.2220408163265306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P10</f>
        <v>5.2220408163265306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0.27795918367346939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0.27795918367346939</v>
      </c>
      <c r="O21" s="14">
        <v>100</v>
      </c>
    </row>
    <row r="22" spans="13:23" x14ac:dyDescent="0.3">
      <c r="M22" s="15" t="s">
        <v>472</v>
      </c>
      <c r="N22" s="18">
        <f>P7</f>
        <v>99.9</v>
      </c>
      <c r="O22" s="14">
        <v>0</v>
      </c>
    </row>
    <row r="23" spans="13:23" x14ac:dyDescent="0.3">
      <c r="M23" s="15"/>
      <c r="N23" s="18">
        <f>P7</f>
        <v>99.9</v>
      </c>
      <c r="O23" s="14">
        <v>100</v>
      </c>
    </row>
    <row r="24" spans="13:23" x14ac:dyDescent="0.3">
      <c r="M24" s="15" t="s">
        <v>473</v>
      </c>
      <c r="N24" s="18">
        <f>P12</f>
        <v>5.7142857142857144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8">
        <f>P12</f>
        <v>5.7142857142857144</v>
      </c>
      <c r="O25" s="14">
        <v>100</v>
      </c>
      <c r="R25" s="18">
        <f>35000/122500*100</f>
        <v>28.571428571428569</v>
      </c>
      <c r="S25" s="16">
        <v>73.375</v>
      </c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f>R3</f>
        <v>31.64</v>
      </c>
      <c r="R26" s="22">
        <v>99.9</v>
      </c>
      <c r="S26" s="16">
        <v>31.64</v>
      </c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f>R3</f>
        <v>31.64</v>
      </c>
      <c r="R27" s="22">
        <v>99.9</v>
      </c>
      <c r="S27" s="16">
        <v>73.375</v>
      </c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f>S3</f>
        <v>73.375</v>
      </c>
      <c r="R28" s="22">
        <v>99.9</v>
      </c>
      <c r="S28" s="16">
        <v>16.64</v>
      </c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f>S3</f>
        <v>73.375</v>
      </c>
      <c r="R29" s="22">
        <v>99.9</v>
      </c>
      <c r="S29" s="16">
        <v>21.64</v>
      </c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f>T3</f>
        <v>16.64</v>
      </c>
      <c r="R30" s="22">
        <v>99.9</v>
      </c>
      <c r="S30" s="16">
        <v>31.64</v>
      </c>
    </row>
    <row r="31" spans="13:23" x14ac:dyDescent="0.3">
      <c r="M31" s="19"/>
      <c r="N31" s="14">
        <v>100</v>
      </c>
      <c r="O31" s="16">
        <f>T3</f>
        <v>16.64</v>
      </c>
      <c r="R31" s="22">
        <v>99.9</v>
      </c>
      <c r="S31" s="16">
        <v>19.14</v>
      </c>
    </row>
    <row r="32" spans="13:23" x14ac:dyDescent="0.3">
      <c r="M32" s="15" t="s">
        <v>446</v>
      </c>
      <c r="N32" s="14">
        <v>0</v>
      </c>
      <c r="O32" s="16">
        <f>U3</f>
        <v>21.64</v>
      </c>
      <c r="R32" s="24"/>
      <c r="S32" s="16"/>
    </row>
    <row r="33" spans="13:18" x14ac:dyDescent="0.3">
      <c r="M33" s="15"/>
      <c r="N33" s="14">
        <v>100</v>
      </c>
      <c r="O33" s="16">
        <f>U3</f>
        <v>21.64</v>
      </c>
      <c r="R33" s="25"/>
    </row>
    <row r="34" spans="13:18" x14ac:dyDescent="0.3">
      <c r="M34" s="15" t="s">
        <v>445</v>
      </c>
      <c r="N34" s="14">
        <v>0</v>
      </c>
      <c r="O34" s="16">
        <f>V3</f>
        <v>31.64</v>
      </c>
    </row>
    <row r="35" spans="13:18" x14ac:dyDescent="0.3">
      <c r="M35" s="15"/>
      <c r="N35" s="14">
        <v>100</v>
      </c>
      <c r="O35" s="16">
        <f>V3</f>
        <v>31.64</v>
      </c>
    </row>
    <row r="36" spans="13:18" x14ac:dyDescent="0.3">
      <c r="M36" s="15" t="s">
        <v>467</v>
      </c>
      <c r="N36" s="14">
        <v>0</v>
      </c>
      <c r="O36" s="16">
        <f>W3</f>
        <v>19.14</v>
      </c>
    </row>
    <row r="37" spans="13:18" x14ac:dyDescent="0.3">
      <c r="M37" s="15"/>
      <c r="N37" s="14">
        <v>100</v>
      </c>
      <c r="O37" s="16">
        <f>W3</f>
        <v>19.14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FD99-CB71-4057-8A1D-2B65AC3CE4E6}">
  <dimension ref="M2:W37"/>
  <sheetViews>
    <sheetView topLeftCell="A2" zoomScale="96" zoomScaleNormal="96" workbookViewId="0">
      <selection activeCell="N45" sqref="N45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38.36</v>
      </c>
      <c r="S3" s="16">
        <v>74.760000000000005</v>
      </c>
      <c r="T3" s="16">
        <v>15.97</v>
      </c>
      <c r="U3" s="16">
        <v>21.12</v>
      </c>
      <c r="V3" s="16">
        <v>21.12</v>
      </c>
      <c r="W3" s="16">
        <v>11.88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7000/23000*100</f>
        <v>30.434782608695656</v>
      </c>
      <c r="Q5" t="s">
        <v>448</v>
      </c>
      <c r="R5">
        <f>$R$3+P5</f>
        <v>68.794782608695655</v>
      </c>
      <c r="S5">
        <f>$S$3+P5</f>
        <v>105.19478260869566</v>
      </c>
      <c r="T5">
        <f>$T$3+P5</f>
        <v>46.404782608695655</v>
      </c>
      <c r="U5">
        <f>$U$3+P5</f>
        <v>51.55478260869566</v>
      </c>
      <c r="V5">
        <f>$V$3+P5</f>
        <v>51.55478260869566</v>
      </c>
      <c r="W5">
        <f>$W$3+P5</f>
        <v>42.314782608695658</v>
      </c>
    </row>
    <row r="6" spans="13:23" x14ac:dyDescent="0.3">
      <c r="M6" s="15">
        <v>0.8</v>
      </c>
      <c r="N6" s="14">
        <v>0</v>
      </c>
      <c r="O6" s="14">
        <v>80</v>
      </c>
      <c r="P6" s="18">
        <f>345/23000*100</f>
        <v>1.5</v>
      </c>
      <c r="Q6" t="s">
        <v>449</v>
      </c>
      <c r="R6">
        <f t="shared" ref="R6:R12" si="0">$R$3+P6</f>
        <v>39.86</v>
      </c>
      <c r="S6">
        <f t="shared" ref="S6:S12" si="1">$S$3+P6</f>
        <v>76.260000000000005</v>
      </c>
      <c r="T6">
        <f t="shared" ref="T6:T12" si="2">$T$3+P6</f>
        <v>17.47</v>
      </c>
      <c r="U6">
        <f>$U$3+P6</f>
        <v>22.62</v>
      </c>
      <c r="V6">
        <f t="shared" ref="V6:V12" si="3">$V$3+P6</f>
        <v>22.62</v>
      </c>
      <c r="W6">
        <f t="shared" ref="W6:W12" si="4">$W$3+P6</f>
        <v>13.38</v>
      </c>
    </row>
    <row r="7" spans="13:23" x14ac:dyDescent="0.3">
      <c r="M7" s="15"/>
      <c r="N7" s="14">
        <v>80</v>
      </c>
      <c r="O7" s="14">
        <v>0</v>
      </c>
      <c r="P7" s="18">
        <f>500/23000*100</f>
        <v>2.1739130434782608</v>
      </c>
      <c r="Q7" t="s">
        <v>450</v>
      </c>
      <c r="R7">
        <f t="shared" si="0"/>
        <v>40.533913043478258</v>
      </c>
      <c r="S7">
        <f t="shared" si="1"/>
        <v>76.93391304347827</v>
      </c>
      <c r="T7">
        <f t="shared" si="2"/>
        <v>18.143913043478261</v>
      </c>
      <c r="U7">
        <f>$U$3+P7</f>
        <v>23.293913043478263</v>
      </c>
      <c r="V7">
        <f t="shared" si="3"/>
        <v>23.293913043478263</v>
      </c>
      <c r="W7">
        <f t="shared" si="4"/>
        <v>14.053913043478261</v>
      </c>
    </row>
    <row r="8" spans="13:23" x14ac:dyDescent="0.3">
      <c r="M8" s="15">
        <v>1</v>
      </c>
      <c r="N8" s="14">
        <v>0</v>
      </c>
      <c r="O8" s="14">
        <v>100</v>
      </c>
      <c r="P8" s="18">
        <f>1000/23000*100</f>
        <v>4.3478260869565215</v>
      </c>
      <c r="Q8" t="s">
        <v>451</v>
      </c>
      <c r="R8">
        <f t="shared" si="0"/>
        <v>42.707826086956523</v>
      </c>
      <c r="S8">
        <f t="shared" si="1"/>
        <v>79.107826086956521</v>
      </c>
      <c r="T8">
        <f t="shared" si="2"/>
        <v>20.317826086956522</v>
      </c>
      <c r="U8">
        <f t="shared" ref="U8:U12" si="5">$U$3+P8</f>
        <v>25.467826086956521</v>
      </c>
      <c r="V8">
        <f t="shared" si="3"/>
        <v>25.467826086956521</v>
      </c>
      <c r="W8">
        <f t="shared" si="4"/>
        <v>16.227826086956522</v>
      </c>
    </row>
    <row r="9" spans="13:23" x14ac:dyDescent="0.3">
      <c r="M9" s="15"/>
      <c r="N9" s="14">
        <v>100</v>
      </c>
      <c r="O9" s="14">
        <v>0</v>
      </c>
      <c r="P9" s="18">
        <f>174/23000*100</f>
        <v>0.75652173913043486</v>
      </c>
      <c r="Q9" t="s">
        <v>452</v>
      </c>
      <c r="R9">
        <f t="shared" si="0"/>
        <v>39.116521739130434</v>
      </c>
      <c r="S9">
        <f t="shared" si="1"/>
        <v>75.51652173913044</v>
      </c>
      <c r="T9">
        <f t="shared" si="2"/>
        <v>16.726521739130437</v>
      </c>
      <c r="U9">
        <f t="shared" si="5"/>
        <v>21.876521739130435</v>
      </c>
      <c r="V9">
        <f t="shared" si="3"/>
        <v>21.876521739130435</v>
      </c>
      <c r="W9">
        <f t="shared" si="4"/>
        <v>12.636521739130435</v>
      </c>
    </row>
    <row r="10" spans="13:23" x14ac:dyDescent="0.3">
      <c r="M10" s="15" t="s">
        <v>459</v>
      </c>
      <c r="N10" s="18">
        <f>P5</f>
        <v>30.434782608695656</v>
      </c>
      <c r="O10" s="14">
        <v>0</v>
      </c>
      <c r="P10" s="18">
        <f>3000/23000*100</f>
        <v>13.043478260869565</v>
      </c>
      <c r="Q10" t="s">
        <v>453</v>
      </c>
      <c r="R10">
        <f t="shared" si="0"/>
        <v>51.403478260869562</v>
      </c>
      <c r="S10">
        <f t="shared" si="1"/>
        <v>87.803478260869568</v>
      </c>
      <c r="T10">
        <f t="shared" si="2"/>
        <v>29.013478260869565</v>
      </c>
      <c r="U10">
        <f t="shared" si="5"/>
        <v>34.163478260869567</v>
      </c>
      <c r="V10">
        <f t="shared" si="3"/>
        <v>34.163478260869567</v>
      </c>
      <c r="W10">
        <f t="shared" si="4"/>
        <v>24.923478260869565</v>
      </c>
    </row>
    <row r="11" spans="13:23" x14ac:dyDescent="0.3">
      <c r="M11" s="15"/>
      <c r="N11" s="18">
        <f>P5</f>
        <v>30.434782608695656</v>
      </c>
      <c r="O11" s="14">
        <v>100</v>
      </c>
      <c r="P11" s="18">
        <f>1284.5/23000*100</f>
        <v>5.5847826086956518</v>
      </c>
      <c r="Q11" t="s">
        <v>454</v>
      </c>
      <c r="R11">
        <f t="shared" si="0"/>
        <v>43.944782608695654</v>
      </c>
      <c r="S11">
        <f t="shared" si="1"/>
        <v>80.344782608695652</v>
      </c>
      <c r="T11">
        <f t="shared" si="2"/>
        <v>21.554782608695653</v>
      </c>
      <c r="U11">
        <f t="shared" si="5"/>
        <v>26.704782608695652</v>
      </c>
      <c r="V11">
        <f t="shared" si="3"/>
        <v>26.704782608695652</v>
      </c>
      <c r="W11">
        <f t="shared" si="4"/>
        <v>17.464782608695653</v>
      </c>
    </row>
    <row r="12" spans="13:23" x14ac:dyDescent="0.3">
      <c r="M12" t="s">
        <v>460</v>
      </c>
      <c r="N12" s="18">
        <f>P6</f>
        <v>1.5</v>
      </c>
      <c r="O12" s="14">
        <v>0</v>
      </c>
      <c r="P12" s="18">
        <f>725/23000*100</f>
        <v>3.152173913043478</v>
      </c>
      <c r="Q12" t="s">
        <v>455</v>
      </c>
      <c r="R12">
        <f t="shared" si="0"/>
        <v>41.512173913043476</v>
      </c>
      <c r="S12">
        <f t="shared" si="1"/>
        <v>77.912173913043489</v>
      </c>
      <c r="T12">
        <f t="shared" si="2"/>
        <v>19.122173913043479</v>
      </c>
      <c r="U12">
        <f t="shared" si="5"/>
        <v>24.272173913043478</v>
      </c>
      <c r="V12">
        <f t="shared" si="3"/>
        <v>24.272173913043478</v>
      </c>
      <c r="W12">
        <f t="shared" si="4"/>
        <v>15.032173913043479</v>
      </c>
    </row>
    <row r="13" spans="13:23" x14ac:dyDescent="0.3">
      <c r="M13" s="15"/>
      <c r="N13" s="18">
        <f>P6</f>
        <v>1.5</v>
      </c>
      <c r="O13" s="14">
        <v>100</v>
      </c>
    </row>
    <row r="14" spans="13:23" x14ac:dyDescent="0.3">
      <c r="M14" t="s">
        <v>461</v>
      </c>
      <c r="N14" s="18">
        <f>P8</f>
        <v>4.3478260869565215</v>
      </c>
      <c r="O14" s="14">
        <v>0</v>
      </c>
      <c r="Q14" s="18"/>
    </row>
    <row r="15" spans="13:23" x14ac:dyDescent="0.3">
      <c r="M15" s="15"/>
      <c r="N15" s="18">
        <f>P8</f>
        <v>4.3478260869565215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0.75652173913043486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P9</f>
        <v>0.75652173913043486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13.043478260869565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P10</f>
        <v>13.043478260869565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5.5847826086956518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5.5847826086956518</v>
      </c>
      <c r="O21" s="14">
        <v>100</v>
      </c>
    </row>
    <row r="22" spans="13:23" x14ac:dyDescent="0.3">
      <c r="M22" s="15" t="s">
        <v>472</v>
      </c>
      <c r="N22" s="18">
        <f>P7</f>
        <v>2.1739130434782608</v>
      </c>
      <c r="O22" s="14">
        <v>0</v>
      </c>
    </row>
    <row r="23" spans="13:23" x14ac:dyDescent="0.3">
      <c r="M23" s="15"/>
      <c r="N23" s="18">
        <f>P7</f>
        <v>2.1739130434782608</v>
      </c>
      <c r="O23" s="14">
        <v>100</v>
      </c>
    </row>
    <row r="24" spans="13:23" x14ac:dyDescent="0.3">
      <c r="M24" s="15" t="s">
        <v>473</v>
      </c>
      <c r="N24" s="18">
        <f>P12</f>
        <v>3.152173913043478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8">
        <f>P12</f>
        <v>3.152173913043478</v>
      </c>
      <c r="O25" s="14">
        <v>100</v>
      </c>
      <c r="R25" s="18">
        <f>7000/23000*100</f>
        <v>30.434782608695656</v>
      </c>
      <c r="S25" s="16">
        <v>74.760000000000005</v>
      </c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f>R3</f>
        <v>38.36</v>
      </c>
      <c r="R26" s="22"/>
      <c r="S26" s="16"/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f>R3</f>
        <v>38.36</v>
      </c>
      <c r="R27" s="22"/>
      <c r="S27" s="16"/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f>S3</f>
        <v>74.760000000000005</v>
      </c>
      <c r="R28" s="22"/>
      <c r="S28" s="16"/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f>S3</f>
        <v>74.760000000000005</v>
      </c>
      <c r="R29" s="22"/>
      <c r="S29" s="16"/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f>T3</f>
        <v>15.97</v>
      </c>
      <c r="R30" s="22"/>
      <c r="S30" s="16"/>
    </row>
    <row r="31" spans="13:23" x14ac:dyDescent="0.3">
      <c r="M31" s="19"/>
      <c r="N31" s="14">
        <v>100</v>
      </c>
      <c r="O31" s="16">
        <f>T3</f>
        <v>15.97</v>
      </c>
      <c r="R31" s="22"/>
      <c r="S31" s="16"/>
    </row>
    <row r="32" spans="13:23" x14ac:dyDescent="0.3">
      <c r="M32" s="15" t="s">
        <v>446</v>
      </c>
      <c r="N32" s="14">
        <v>0</v>
      </c>
      <c r="O32" s="16">
        <f>U3</f>
        <v>21.12</v>
      </c>
      <c r="R32" s="24"/>
      <c r="S32" s="16"/>
    </row>
    <row r="33" spans="13:18" x14ac:dyDescent="0.3">
      <c r="M33" s="15"/>
      <c r="N33" s="14">
        <v>100</v>
      </c>
      <c r="O33" s="16">
        <f>U3</f>
        <v>21.12</v>
      </c>
      <c r="R33" s="25"/>
    </row>
    <row r="34" spans="13:18" x14ac:dyDescent="0.3">
      <c r="M34" s="15" t="s">
        <v>445</v>
      </c>
      <c r="N34" s="14">
        <v>0</v>
      </c>
      <c r="O34" s="16">
        <f>V3</f>
        <v>21.12</v>
      </c>
    </row>
    <row r="35" spans="13:18" x14ac:dyDescent="0.3">
      <c r="M35" s="15"/>
      <c r="N35" s="14">
        <v>100</v>
      </c>
      <c r="O35" s="16">
        <f>V3</f>
        <v>21.12</v>
      </c>
    </row>
    <row r="36" spans="13:18" x14ac:dyDescent="0.3">
      <c r="M36" s="15" t="s">
        <v>467</v>
      </c>
      <c r="N36" s="14">
        <v>0</v>
      </c>
      <c r="O36" s="16">
        <f>W3</f>
        <v>11.88</v>
      </c>
    </row>
    <row r="37" spans="13:18" x14ac:dyDescent="0.3">
      <c r="M37" s="15"/>
      <c r="N37" s="14">
        <v>100</v>
      </c>
      <c r="O37" s="16">
        <f>W3</f>
        <v>11.88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9802-F992-4FD8-839E-AD403CE79A54}">
  <dimension ref="M2:W37"/>
  <sheetViews>
    <sheetView topLeftCell="A11" zoomScale="96" zoomScaleNormal="96" workbookViewId="0">
      <selection activeCell="Q33" sqref="Q33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83</v>
      </c>
      <c r="S3" s="16">
        <v>98.5</v>
      </c>
      <c r="T3" s="16">
        <v>63.5</v>
      </c>
      <c r="U3" s="16">
        <v>66</v>
      </c>
      <c r="V3" s="16">
        <v>42.5</v>
      </c>
      <c r="W3" s="16">
        <v>21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329/87000*100</f>
        <v>0.3781609195402299</v>
      </c>
      <c r="Q5" t="s">
        <v>448</v>
      </c>
      <c r="R5">
        <f>$R$3+P5</f>
        <v>83.378160919540235</v>
      </c>
      <c r="S5">
        <f>$S$3+P5</f>
        <v>98.878160919540235</v>
      </c>
      <c r="T5">
        <f>$T$3+P5</f>
        <v>63.878160919540228</v>
      </c>
      <c r="U5">
        <f>$U$3+P5</f>
        <v>66.378160919540235</v>
      </c>
      <c r="V5">
        <f>$V$3+P5</f>
        <v>42.878160919540228</v>
      </c>
      <c r="W5">
        <f>$W$3+P5</f>
        <v>21.378160919540228</v>
      </c>
    </row>
    <row r="6" spans="13:23" x14ac:dyDescent="0.3">
      <c r="M6" s="15">
        <v>0.8</v>
      </c>
      <c r="N6" s="14">
        <v>0</v>
      </c>
      <c r="O6" s="14">
        <v>80</v>
      </c>
      <c r="P6" s="18">
        <f>2250/87000*100</f>
        <v>2.5862068965517242</v>
      </c>
      <c r="Q6" t="s">
        <v>449</v>
      </c>
      <c r="R6">
        <f t="shared" ref="R6:R12" si="0">$R$3+P6</f>
        <v>85.58620689655173</v>
      </c>
      <c r="S6">
        <f t="shared" ref="S6:S12" si="1">$S$3+P6</f>
        <v>101.08620689655173</v>
      </c>
      <c r="T6">
        <f t="shared" ref="T6:T12" si="2">$T$3+P6</f>
        <v>66.08620689655173</v>
      </c>
      <c r="U6">
        <f>$U$3+P6</f>
        <v>68.58620689655173</v>
      </c>
      <c r="V6">
        <f t="shared" ref="V6:V12" si="3">$V$3+P6</f>
        <v>45.086206896551722</v>
      </c>
      <c r="W6">
        <f t="shared" ref="W6:W12" si="4">$W$3+P6</f>
        <v>23.586206896551722</v>
      </c>
    </row>
    <row r="7" spans="13:23" x14ac:dyDescent="0.3">
      <c r="M7" s="15"/>
      <c r="N7" s="14">
        <v>80</v>
      </c>
      <c r="O7" s="14">
        <v>0</v>
      </c>
      <c r="P7" s="18">
        <v>0</v>
      </c>
      <c r="Q7" t="s">
        <v>450</v>
      </c>
      <c r="R7">
        <f t="shared" si="0"/>
        <v>83</v>
      </c>
      <c r="S7">
        <f t="shared" si="1"/>
        <v>98.5</v>
      </c>
      <c r="T7">
        <f t="shared" si="2"/>
        <v>63.5</v>
      </c>
      <c r="U7">
        <f>$U$3+P7</f>
        <v>66</v>
      </c>
      <c r="V7">
        <f t="shared" si="3"/>
        <v>42.5</v>
      </c>
      <c r="W7">
        <f t="shared" si="4"/>
        <v>21</v>
      </c>
    </row>
    <row r="8" spans="13:23" x14ac:dyDescent="0.3">
      <c r="M8" s="15">
        <v>1</v>
      </c>
      <c r="N8" s="14">
        <v>0</v>
      </c>
      <c r="O8" s="14">
        <v>100</v>
      </c>
      <c r="P8" s="18">
        <f>500/87000*100</f>
        <v>0.57471264367816088</v>
      </c>
      <c r="Q8" t="s">
        <v>451</v>
      </c>
      <c r="R8">
        <f t="shared" si="0"/>
        <v>83.574712643678154</v>
      </c>
      <c r="S8">
        <f t="shared" si="1"/>
        <v>99.074712643678154</v>
      </c>
      <c r="T8">
        <f t="shared" si="2"/>
        <v>64.074712643678154</v>
      </c>
      <c r="U8">
        <f t="shared" ref="U8:U12" si="5">$U$3+P8</f>
        <v>66.574712643678154</v>
      </c>
      <c r="V8">
        <f t="shared" si="3"/>
        <v>43.074712643678161</v>
      </c>
      <c r="W8">
        <f t="shared" si="4"/>
        <v>21.574712643678161</v>
      </c>
    </row>
    <row r="9" spans="13:23" x14ac:dyDescent="0.3">
      <c r="M9" s="15"/>
      <c r="N9" s="14">
        <v>100</v>
      </c>
      <c r="O9" s="14">
        <v>0</v>
      </c>
      <c r="P9" s="18">
        <f>500/87000*100</f>
        <v>0.57471264367816088</v>
      </c>
      <c r="Q9" t="s">
        <v>452</v>
      </c>
      <c r="R9">
        <f t="shared" si="0"/>
        <v>83.574712643678154</v>
      </c>
      <c r="S9">
        <f t="shared" si="1"/>
        <v>99.074712643678154</v>
      </c>
      <c r="T9">
        <f t="shared" si="2"/>
        <v>64.074712643678154</v>
      </c>
      <c r="U9">
        <f t="shared" si="5"/>
        <v>66.574712643678154</v>
      </c>
      <c r="V9">
        <f t="shared" si="3"/>
        <v>43.074712643678161</v>
      </c>
      <c r="W9">
        <f t="shared" si="4"/>
        <v>21.574712643678161</v>
      </c>
    </row>
    <row r="10" spans="13:23" x14ac:dyDescent="0.3">
      <c r="M10" s="15" t="s">
        <v>459</v>
      </c>
      <c r="N10" s="18">
        <f>P5</f>
        <v>0.3781609195402299</v>
      </c>
      <c r="O10" s="14">
        <v>0</v>
      </c>
      <c r="P10" s="18">
        <f>500/87000*100</f>
        <v>0.57471264367816088</v>
      </c>
      <c r="Q10" t="s">
        <v>453</v>
      </c>
      <c r="R10">
        <f t="shared" si="0"/>
        <v>83.574712643678154</v>
      </c>
      <c r="S10">
        <f t="shared" si="1"/>
        <v>99.074712643678154</v>
      </c>
      <c r="T10">
        <f t="shared" si="2"/>
        <v>64.074712643678154</v>
      </c>
      <c r="U10">
        <f t="shared" si="5"/>
        <v>66.574712643678154</v>
      </c>
      <c r="V10">
        <f t="shared" si="3"/>
        <v>43.074712643678161</v>
      </c>
      <c r="W10">
        <f t="shared" si="4"/>
        <v>21.574712643678161</v>
      </c>
    </row>
    <row r="11" spans="13:23" x14ac:dyDescent="0.3">
      <c r="M11" s="15"/>
      <c r="N11" s="18">
        <f>P5</f>
        <v>0.3781609195402299</v>
      </c>
      <c r="O11" s="14">
        <v>100</v>
      </c>
      <c r="P11" s="18">
        <f>1001/87000*100</f>
        <v>1.1505747126436781</v>
      </c>
      <c r="Q11" t="s">
        <v>454</v>
      </c>
      <c r="R11">
        <f t="shared" si="0"/>
        <v>84.150574712643675</v>
      </c>
      <c r="S11">
        <f t="shared" si="1"/>
        <v>99.650574712643675</v>
      </c>
      <c r="T11">
        <f t="shared" si="2"/>
        <v>64.650574712643675</v>
      </c>
      <c r="U11">
        <f t="shared" si="5"/>
        <v>67.150574712643675</v>
      </c>
      <c r="V11">
        <f t="shared" si="3"/>
        <v>43.650574712643675</v>
      </c>
      <c r="W11">
        <f t="shared" si="4"/>
        <v>22.150574712643678</v>
      </c>
    </row>
    <row r="12" spans="13:23" x14ac:dyDescent="0.3">
      <c r="M12" t="s">
        <v>460</v>
      </c>
      <c r="N12" s="18">
        <f>P6</f>
        <v>2.5862068965517242</v>
      </c>
      <c r="O12" s="14">
        <v>0</v>
      </c>
      <c r="P12" s="18">
        <f>350/87000*100</f>
        <v>0.40229885057471265</v>
      </c>
      <c r="Q12" t="s">
        <v>455</v>
      </c>
      <c r="R12">
        <f t="shared" si="0"/>
        <v>83.402298850574709</v>
      </c>
      <c r="S12">
        <f t="shared" si="1"/>
        <v>98.902298850574709</v>
      </c>
      <c r="T12">
        <f t="shared" si="2"/>
        <v>63.902298850574709</v>
      </c>
      <c r="U12">
        <f t="shared" si="5"/>
        <v>66.402298850574709</v>
      </c>
      <c r="V12">
        <f t="shared" si="3"/>
        <v>42.902298850574709</v>
      </c>
      <c r="W12">
        <f t="shared" si="4"/>
        <v>21.402298850574713</v>
      </c>
    </row>
    <row r="13" spans="13:23" x14ac:dyDescent="0.3">
      <c r="M13" s="15"/>
      <c r="N13" s="18">
        <f>P6</f>
        <v>2.5862068965517242</v>
      </c>
      <c r="O13" s="14">
        <v>100</v>
      </c>
    </row>
    <row r="14" spans="13:23" x14ac:dyDescent="0.3">
      <c r="M14" t="s">
        <v>461</v>
      </c>
      <c r="N14" s="18">
        <f>P8</f>
        <v>0.57471264367816088</v>
      </c>
      <c r="O14" s="14">
        <v>0</v>
      </c>
      <c r="Q14" s="18"/>
    </row>
    <row r="15" spans="13:23" x14ac:dyDescent="0.3">
      <c r="M15" s="15"/>
      <c r="N15" s="18">
        <f>P8</f>
        <v>0.57471264367816088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0.57471264367816088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P9</f>
        <v>0.57471264367816088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0.57471264367816088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P10</f>
        <v>0.57471264367816088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1.1505747126436781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1.1505747126436781</v>
      </c>
      <c r="O21" s="14">
        <v>100</v>
      </c>
    </row>
    <row r="22" spans="13:23" x14ac:dyDescent="0.3">
      <c r="M22" s="15" t="s">
        <v>472</v>
      </c>
      <c r="N22" s="18">
        <f>P7</f>
        <v>0</v>
      </c>
      <c r="O22" s="14">
        <v>0</v>
      </c>
    </row>
    <row r="23" spans="13:23" x14ac:dyDescent="0.3">
      <c r="M23" s="15"/>
      <c r="N23" s="18">
        <f>P7</f>
        <v>0</v>
      </c>
      <c r="O23" s="14">
        <v>100</v>
      </c>
    </row>
    <row r="24" spans="13:23" x14ac:dyDescent="0.3">
      <c r="M24" s="15" t="s">
        <v>473</v>
      </c>
      <c r="N24" s="18">
        <f>P12</f>
        <v>0.40229885057471265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8">
        <f>P12</f>
        <v>0.40229885057471265</v>
      </c>
      <c r="O25" s="14">
        <v>100</v>
      </c>
      <c r="R25" s="18">
        <f>2250/87000*100</f>
        <v>2.5862068965517242</v>
      </c>
      <c r="S25" s="16">
        <v>98.5</v>
      </c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f>R3</f>
        <v>83</v>
      </c>
      <c r="R26" s="18">
        <f>1001/87000*100</f>
        <v>1.1505747126436781</v>
      </c>
      <c r="S26" s="16">
        <v>98.5</v>
      </c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f>R3</f>
        <v>83</v>
      </c>
      <c r="R27" s="22"/>
      <c r="S27" s="16"/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f>S3</f>
        <v>98.5</v>
      </c>
      <c r="R28" s="22"/>
      <c r="S28" s="16"/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f>S3</f>
        <v>98.5</v>
      </c>
      <c r="R29" s="22"/>
      <c r="S29" s="16"/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f>T3</f>
        <v>63.5</v>
      </c>
      <c r="R30" s="22"/>
      <c r="S30" s="16"/>
    </row>
    <row r="31" spans="13:23" x14ac:dyDescent="0.3">
      <c r="M31" s="19"/>
      <c r="N31" s="14">
        <v>100</v>
      </c>
      <c r="O31" s="16">
        <f>T3</f>
        <v>63.5</v>
      </c>
      <c r="R31" s="22"/>
      <c r="S31" s="16"/>
    </row>
    <row r="32" spans="13:23" x14ac:dyDescent="0.3">
      <c r="M32" s="15" t="s">
        <v>446</v>
      </c>
      <c r="N32" s="14">
        <v>0</v>
      </c>
      <c r="O32" s="16">
        <f>U3</f>
        <v>66</v>
      </c>
      <c r="R32" s="24"/>
      <c r="S32" s="16"/>
    </row>
    <row r="33" spans="13:18" x14ac:dyDescent="0.3">
      <c r="M33" s="15"/>
      <c r="N33" s="14">
        <v>100</v>
      </c>
      <c r="O33" s="16">
        <f>U3</f>
        <v>66</v>
      </c>
      <c r="R33" s="25"/>
    </row>
    <row r="34" spans="13:18" x14ac:dyDescent="0.3">
      <c r="M34" s="15" t="s">
        <v>445</v>
      </c>
      <c r="N34" s="14">
        <v>0</v>
      </c>
      <c r="O34" s="16">
        <f>V3</f>
        <v>42.5</v>
      </c>
    </row>
    <row r="35" spans="13:18" x14ac:dyDescent="0.3">
      <c r="M35" s="15"/>
      <c r="N35" s="14">
        <v>100</v>
      </c>
      <c r="O35" s="16">
        <f>V3</f>
        <v>42.5</v>
      </c>
    </row>
    <row r="36" spans="13:18" x14ac:dyDescent="0.3">
      <c r="M36" s="15" t="s">
        <v>467</v>
      </c>
      <c r="N36" s="14">
        <v>0</v>
      </c>
      <c r="O36" s="16">
        <f>W3</f>
        <v>21</v>
      </c>
    </row>
    <row r="37" spans="13:18" x14ac:dyDescent="0.3">
      <c r="M37" s="15"/>
      <c r="N37" s="14">
        <v>100</v>
      </c>
      <c r="O37" s="16">
        <f>W3</f>
        <v>21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368A-222F-4D23-9E3D-26F3A0E3B818}">
  <dimension ref="M2:W37"/>
  <sheetViews>
    <sheetView topLeftCell="A6" zoomScale="96" zoomScaleNormal="96" workbookViewId="0">
      <selection activeCell="N45" sqref="N45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23.8</v>
      </c>
      <c r="S3" s="16">
        <v>77.67</v>
      </c>
      <c r="T3" s="16">
        <v>18.149999999999999</v>
      </c>
      <c r="U3" s="16">
        <v>29</v>
      </c>
      <c r="V3" s="16">
        <v>16.850000000000001</v>
      </c>
      <c r="W3" s="16">
        <v>24.38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f>1408/25000*100</f>
        <v>5.6320000000000006</v>
      </c>
      <c r="Q5" t="s">
        <v>448</v>
      </c>
      <c r="R5">
        <f>$R$3+P5</f>
        <v>29.432000000000002</v>
      </c>
      <c r="S5">
        <f>$S$3+P5</f>
        <v>83.302000000000007</v>
      </c>
      <c r="T5">
        <f>$T$3+P5</f>
        <v>23.782</v>
      </c>
      <c r="U5">
        <f>$U$3+P5</f>
        <v>34.631999999999998</v>
      </c>
      <c r="V5">
        <f>$V$3+P5</f>
        <v>22.482000000000003</v>
      </c>
      <c r="W5">
        <f>$W$3+P5</f>
        <v>30.012</v>
      </c>
    </row>
    <row r="6" spans="13:23" x14ac:dyDescent="0.3">
      <c r="M6" s="15">
        <v>0.8</v>
      </c>
      <c r="N6" s="14">
        <v>0</v>
      </c>
      <c r="O6" s="14">
        <v>80</v>
      </c>
      <c r="P6" s="18">
        <f>400/25000*100</f>
        <v>1.6</v>
      </c>
      <c r="Q6" t="s">
        <v>449</v>
      </c>
      <c r="R6">
        <f t="shared" ref="R6:R12" si="0">$R$3+P6</f>
        <v>25.400000000000002</v>
      </c>
      <c r="S6">
        <f t="shared" ref="S6:S12" si="1">$S$3+P6</f>
        <v>79.27</v>
      </c>
      <c r="T6">
        <f t="shared" ref="T6:T12" si="2">$T$3+P6</f>
        <v>19.75</v>
      </c>
      <c r="U6">
        <f>$U$3+P6</f>
        <v>30.6</v>
      </c>
      <c r="V6">
        <f t="shared" ref="V6:V12" si="3">$V$3+P6</f>
        <v>18.450000000000003</v>
      </c>
      <c r="W6">
        <f t="shared" ref="W6:W12" si="4">$W$3+P6</f>
        <v>25.98</v>
      </c>
    </row>
    <row r="7" spans="13:23" x14ac:dyDescent="0.3">
      <c r="M7" s="15"/>
      <c r="N7" s="14">
        <v>80</v>
      </c>
      <c r="O7" s="14">
        <v>0</v>
      </c>
      <c r="P7" s="18">
        <f>1029/25000*100</f>
        <v>4.1160000000000005</v>
      </c>
      <c r="Q7" t="s">
        <v>450</v>
      </c>
      <c r="R7">
        <f t="shared" si="0"/>
        <v>27.916</v>
      </c>
      <c r="S7">
        <f t="shared" si="1"/>
        <v>81.786000000000001</v>
      </c>
      <c r="T7">
        <f t="shared" si="2"/>
        <v>22.265999999999998</v>
      </c>
      <c r="U7">
        <f>$U$3+P7</f>
        <v>33.116</v>
      </c>
      <c r="V7">
        <f t="shared" si="3"/>
        <v>20.966000000000001</v>
      </c>
      <c r="W7">
        <f t="shared" si="4"/>
        <v>28.495999999999999</v>
      </c>
    </row>
    <row r="8" spans="13:23" x14ac:dyDescent="0.3">
      <c r="M8" s="15">
        <v>1</v>
      </c>
      <c r="N8" s="14">
        <v>0</v>
      </c>
      <c r="O8" s="14">
        <v>100</v>
      </c>
      <c r="P8" s="18">
        <f>1000/25000*100</f>
        <v>4</v>
      </c>
      <c r="Q8" t="s">
        <v>451</v>
      </c>
      <c r="R8">
        <f t="shared" si="0"/>
        <v>27.8</v>
      </c>
      <c r="S8">
        <f t="shared" si="1"/>
        <v>81.67</v>
      </c>
      <c r="T8">
        <f t="shared" si="2"/>
        <v>22.15</v>
      </c>
      <c r="U8">
        <f t="shared" ref="U8:U12" si="5">$U$3+P8</f>
        <v>33</v>
      </c>
      <c r="V8">
        <f t="shared" si="3"/>
        <v>20.85</v>
      </c>
      <c r="W8">
        <f t="shared" si="4"/>
        <v>28.38</v>
      </c>
    </row>
    <row r="9" spans="13:23" x14ac:dyDescent="0.3">
      <c r="M9" s="15"/>
      <c r="N9" s="14">
        <v>100</v>
      </c>
      <c r="O9" s="14">
        <v>0</v>
      </c>
      <c r="P9" s="18">
        <f>1350/25000*100</f>
        <v>5.4</v>
      </c>
      <c r="Q9" t="s">
        <v>452</v>
      </c>
      <c r="R9">
        <f t="shared" si="0"/>
        <v>29.200000000000003</v>
      </c>
      <c r="S9">
        <f t="shared" si="1"/>
        <v>83.070000000000007</v>
      </c>
      <c r="T9">
        <f t="shared" si="2"/>
        <v>23.549999999999997</v>
      </c>
      <c r="U9">
        <f t="shared" si="5"/>
        <v>34.4</v>
      </c>
      <c r="V9">
        <f t="shared" si="3"/>
        <v>22.25</v>
      </c>
      <c r="W9">
        <f t="shared" si="4"/>
        <v>29.78</v>
      </c>
    </row>
    <row r="10" spans="13:23" x14ac:dyDescent="0.3">
      <c r="M10" s="15" t="s">
        <v>459</v>
      </c>
      <c r="N10" s="18">
        <f>P5</f>
        <v>5.6320000000000006</v>
      </c>
      <c r="O10" s="14">
        <v>0</v>
      </c>
      <c r="P10" s="18">
        <f>1000/25000*100</f>
        <v>4</v>
      </c>
      <c r="Q10" t="s">
        <v>453</v>
      </c>
      <c r="R10">
        <f t="shared" si="0"/>
        <v>27.8</v>
      </c>
      <c r="S10">
        <f t="shared" si="1"/>
        <v>81.67</v>
      </c>
      <c r="T10">
        <f t="shared" si="2"/>
        <v>22.15</v>
      </c>
      <c r="U10">
        <f t="shared" si="5"/>
        <v>33</v>
      </c>
      <c r="V10">
        <f t="shared" si="3"/>
        <v>20.85</v>
      </c>
      <c r="W10">
        <f t="shared" si="4"/>
        <v>28.38</v>
      </c>
    </row>
    <row r="11" spans="13:23" x14ac:dyDescent="0.3">
      <c r="M11" s="15"/>
      <c r="N11" s="18">
        <f>P5</f>
        <v>5.6320000000000006</v>
      </c>
      <c r="O11" s="14">
        <v>100</v>
      </c>
      <c r="P11" s="18">
        <v>0</v>
      </c>
      <c r="Q11" t="s">
        <v>454</v>
      </c>
      <c r="R11">
        <f t="shared" si="0"/>
        <v>23.8</v>
      </c>
      <c r="S11">
        <f t="shared" si="1"/>
        <v>77.67</v>
      </c>
      <c r="T11">
        <f t="shared" si="2"/>
        <v>18.149999999999999</v>
      </c>
      <c r="U11">
        <f t="shared" si="5"/>
        <v>29</v>
      </c>
      <c r="V11">
        <f t="shared" si="3"/>
        <v>16.850000000000001</v>
      </c>
      <c r="W11">
        <f t="shared" si="4"/>
        <v>24.38</v>
      </c>
    </row>
    <row r="12" spans="13:23" x14ac:dyDescent="0.3">
      <c r="M12" t="s">
        <v>460</v>
      </c>
      <c r="N12" s="18">
        <f>P6</f>
        <v>1.6</v>
      </c>
      <c r="O12" s="14">
        <v>0</v>
      </c>
      <c r="P12" s="18">
        <f>444/25000*100</f>
        <v>1.7760000000000002</v>
      </c>
      <c r="Q12" t="s">
        <v>455</v>
      </c>
      <c r="R12">
        <f t="shared" si="0"/>
        <v>25.576000000000001</v>
      </c>
      <c r="S12">
        <f t="shared" si="1"/>
        <v>79.445999999999998</v>
      </c>
      <c r="T12">
        <f t="shared" si="2"/>
        <v>19.925999999999998</v>
      </c>
      <c r="U12">
        <f t="shared" si="5"/>
        <v>30.776</v>
      </c>
      <c r="V12">
        <f t="shared" si="3"/>
        <v>18.626000000000001</v>
      </c>
      <c r="W12">
        <f t="shared" si="4"/>
        <v>26.155999999999999</v>
      </c>
    </row>
    <row r="13" spans="13:23" x14ac:dyDescent="0.3">
      <c r="M13" s="15"/>
      <c r="N13" s="18">
        <f>P6</f>
        <v>1.6</v>
      </c>
      <c r="O13" s="14">
        <v>100</v>
      </c>
    </row>
    <row r="14" spans="13:23" x14ac:dyDescent="0.3">
      <c r="M14" t="s">
        <v>461</v>
      </c>
      <c r="N14" s="18">
        <f>P8</f>
        <v>4</v>
      </c>
      <c r="O14" s="14">
        <v>0</v>
      </c>
      <c r="Q14" s="18"/>
    </row>
    <row r="15" spans="13:23" x14ac:dyDescent="0.3">
      <c r="M15" s="15"/>
      <c r="N15" s="18">
        <f>P8</f>
        <v>4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5.4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P9</f>
        <v>5.4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4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P10</f>
        <v>4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0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0</v>
      </c>
      <c r="O21" s="14">
        <v>100</v>
      </c>
    </row>
    <row r="22" spans="13:23" x14ac:dyDescent="0.3">
      <c r="M22" s="15" t="s">
        <v>472</v>
      </c>
      <c r="N22" s="18">
        <f>P7</f>
        <v>4.1160000000000005</v>
      </c>
      <c r="O22" s="14">
        <v>0</v>
      </c>
    </row>
    <row r="23" spans="13:23" x14ac:dyDescent="0.3">
      <c r="M23" s="15"/>
      <c r="N23" s="18">
        <f>P7</f>
        <v>4.1160000000000005</v>
      </c>
      <c r="O23" s="14">
        <v>100</v>
      </c>
    </row>
    <row r="24" spans="13:23" x14ac:dyDescent="0.3">
      <c r="M24" s="15" t="s">
        <v>473</v>
      </c>
      <c r="N24" s="18">
        <f>P12</f>
        <v>1.7760000000000002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8">
        <f>P12</f>
        <v>1.7760000000000002</v>
      </c>
      <c r="O25" s="14">
        <v>100</v>
      </c>
      <c r="R25" s="18"/>
      <c r="S25" s="16"/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f>R3</f>
        <v>23.8</v>
      </c>
      <c r="R26" s="22"/>
      <c r="S26" s="16"/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f>R3</f>
        <v>23.8</v>
      </c>
      <c r="R27" s="22"/>
      <c r="S27" s="16"/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f>S3</f>
        <v>77.67</v>
      </c>
      <c r="R28" s="22"/>
      <c r="S28" s="16"/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f>S3</f>
        <v>77.67</v>
      </c>
      <c r="R29" s="22"/>
      <c r="S29" s="16"/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f>T3</f>
        <v>18.149999999999999</v>
      </c>
      <c r="R30" s="22"/>
      <c r="S30" s="16"/>
    </row>
    <row r="31" spans="13:23" x14ac:dyDescent="0.3">
      <c r="M31" s="19"/>
      <c r="N31" s="14">
        <v>100</v>
      </c>
      <c r="O31" s="16">
        <f>T3</f>
        <v>18.149999999999999</v>
      </c>
      <c r="R31" s="22"/>
      <c r="S31" s="16"/>
    </row>
    <row r="32" spans="13:23" x14ac:dyDescent="0.3">
      <c r="M32" s="15" t="s">
        <v>446</v>
      </c>
      <c r="N32" s="14">
        <v>0</v>
      </c>
      <c r="O32" s="16">
        <f>U3</f>
        <v>29</v>
      </c>
      <c r="R32" s="24"/>
      <c r="S32" s="16"/>
    </row>
    <row r="33" spans="13:18" x14ac:dyDescent="0.3">
      <c r="M33" s="15"/>
      <c r="N33" s="14">
        <v>100</v>
      </c>
      <c r="O33" s="16">
        <f>U3</f>
        <v>29</v>
      </c>
      <c r="R33" s="25"/>
    </row>
    <row r="34" spans="13:18" x14ac:dyDescent="0.3">
      <c r="M34" s="15" t="s">
        <v>445</v>
      </c>
      <c r="N34" s="14">
        <v>0</v>
      </c>
      <c r="O34" s="16">
        <f>V3</f>
        <v>16.850000000000001</v>
      </c>
    </row>
    <row r="35" spans="13:18" x14ac:dyDescent="0.3">
      <c r="M35" s="15"/>
      <c r="N35" s="14">
        <v>100</v>
      </c>
      <c r="O35" s="16">
        <f>V3</f>
        <v>16.850000000000001</v>
      </c>
    </row>
    <row r="36" spans="13:18" x14ac:dyDescent="0.3">
      <c r="M36" s="15" t="s">
        <v>467</v>
      </c>
      <c r="N36" s="14">
        <v>0</v>
      </c>
      <c r="O36" s="16">
        <f>W3</f>
        <v>24.38</v>
      </c>
    </row>
    <row r="37" spans="13:18" x14ac:dyDescent="0.3">
      <c r="M37" s="15"/>
      <c r="N37" s="14">
        <v>100</v>
      </c>
      <c r="O37" s="16">
        <f>W3</f>
        <v>24.38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3B46-5B94-4634-A370-9844DDE4AC36}">
  <dimension ref="M2:W37"/>
  <sheetViews>
    <sheetView topLeftCell="A6" zoomScale="96" zoomScaleNormal="96" workbookViewId="0">
      <selection activeCell="M43" sqref="M43"/>
    </sheetView>
  </sheetViews>
  <sheetFormatPr defaultRowHeight="14.4" x14ac:dyDescent="0.3"/>
  <cols>
    <col min="13" max="13" width="19.77734375" bestFit="1" customWidth="1"/>
    <col min="14" max="14" width="14.44140625" customWidth="1"/>
    <col min="15" max="15" width="7.33203125" bestFit="1" customWidth="1"/>
    <col min="16" max="16" width="8.5546875" bestFit="1" customWidth="1"/>
    <col min="17" max="17" width="21.109375" bestFit="1" customWidth="1"/>
    <col min="18" max="18" width="11.33203125" bestFit="1" customWidth="1"/>
  </cols>
  <sheetData>
    <row r="2" spans="13:23" x14ac:dyDescent="0.3">
      <c r="M2" s="31" t="s">
        <v>457</v>
      </c>
      <c r="N2" s="32"/>
      <c r="O2" s="32"/>
      <c r="Q2" s="33" t="s">
        <v>458</v>
      </c>
      <c r="R2" s="33"/>
      <c r="S2" s="33"/>
      <c r="T2" s="33"/>
      <c r="U2" s="33"/>
      <c r="V2" s="33"/>
      <c r="W2" s="33"/>
    </row>
    <row r="3" spans="13:23" x14ac:dyDescent="0.3">
      <c r="M3" s="14" t="s">
        <v>438</v>
      </c>
      <c r="N3" s="14" t="s">
        <v>439</v>
      </c>
      <c r="O3" s="14" t="s">
        <v>440</v>
      </c>
      <c r="P3" s="16" t="s">
        <v>456</v>
      </c>
      <c r="Q3" s="17"/>
      <c r="R3" s="16">
        <v>30</v>
      </c>
      <c r="S3" s="16">
        <v>42.67</v>
      </c>
      <c r="T3" s="16">
        <v>50</v>
      </c>
      <c r="U3" s="16">
        <v>51.67</v>
      </c>
      <c r="V3" s="16">
        <v>10</v>
      </c>
      <c r="W3" s="16">
        <v>6.67</v>
      </c>
    </row>
    <row r="4" spans="13:23" x14ac:dyDescent="0.3">
      <c r="M4" s="15">
        <v>0.6</v>
      </c>
      <c r="N4" s="14">
        <v>0</v>
      </c>
      <c r="O4" s="14">
        <v>60</v>
      </c>
      <c r="P4" s="16"/>
      <c r="Q4" t="s">
        <v>441</v>
      </c>
      <c r="R4" t="s">
        <v>442</v>
      </c>
      <c r="S4" t="s">
        <v>443</v>
      </c>
      <c r="T4" t="s">
        <v>444</v>
      </c>
      <c r="U4" t="s">
        <v>446</v>
      </c>
      <c r="V4" t="s">
        <v>445</v>
      </c>
      <c r="W4" t="s">
        <v>447</v>
      </c>
    </row>
    <row r="5" spans="13:23" x14ac:dyDescent="0.3">
      <c r="M5" s="15"/>
      <c r="N5" s="14">
        <v>60</v>
      </c>
      <c r="O5" s="14">
        <v>0</v>
      </c>
      <c r="P5" s="18">
        <v>0</v>
      </c>
      <c r="Q5" t="s">
        <v>448</v>
      </c>
      <c r="R5">
        <f>$R$3+P5</f>
        <v>30</v>
      </c>
      <c r="S5">
        <f>$S$3+P5</f>
        <v>42.67</v>
      </c>
      <c r="T5">
        <f>$T$3+P5</f>
        <v>50</v>
      </c>
      <c r="U5">
        <f>$U$3+P5</f>
        <v>51.67</v>
      </c>
      <c r="V5">
        <f>$V$3+P5</f>
        <v>10</v>
      </c>
      <c r="W5">
        <f>$W$3+P5</f>
        <v>6.67</v>
      </c>
    </row>
    <row r="6" spans="13:23" x14ac:dyDescent="0.3">
      <c r="M6" s="15">
        <v>0.8</v>
      </c>
      <c r="N6" s="14">
        <v>0</v>
      </c>
      <c r="O6" s="14">
        <v>80</v>
      </c>
      <c r="P6" s="18">
        <f>1148/7000*100</f>
        <v>16.400000000000002</v>
      </c>
      <c r="Q6" t="s">
        <v>449</v>
      </c>
      <c r="R6">
        <f t="shared" ref="R6:R12" si="0">$R$3+P6</f>
        <v>46.400000000000006</v>
      </c>
      <c r="S6">
        <f t="shared" ref="S6:S12" si="1">$S$3+P6</f>
        <v>59.070000000000007</v>
      </c>
      <c r="T6">
        <f t="shared" ref="T6:T12" si="2">$T$3+P6</f>
        <v>66.400000000000006</v>
      </c>
      <c r="U6">
        <f>$U$3+P6</f>
        <v>68.070000000000007</v>
      </c>
      <c r="V6">
        <f t="shared" ref="V6:V12" si="3">$V$3+P6</f>
        <v>26.400000000000002</v>
      </c>
      <c r="W6">
        <f t="shared" ref="W6:W12" si="4">$W$3+P6</f>
        <v>23.07</v>
      </c>
    </row>
    <row r="7" spans="13:23" x14ac:dyDescent="0.3">
      <c r="M7" s="15"/>
      <c r="N7" s="14">
        <v>80</v>
      </c>
      <c r="O7" s="14">
        <v>0</v>
      </c>
      <c r="P7" s="18">
        <f>875/7000*100</f>
        <v>12.5</v>
      </c>
      <c r="Q7" t="s">
        <v>450</v>
      </c>
      <c r="R7">
        <f t="shared" si="0"/>
        <v>42.5</v>
      </c>
      <c r="S7">
        <f t="shared" si="1"/>
        <v>55.17</v>
      </c>
      <c r="T7">
        <f t="shared" si="2"/>
        <v>62.5</v>
      </c>
      <c r="U7">
        <f>$U$3+P7</f>
        <v>64.17</v>
      </c>
      <c r="V7">
        <f t="shared" si="3"/>
        <v>22.5</v>
      </c>
      <c r="W7">
        <f t="shared" si="4"/>
        <v>19.170000000000002</v>
      </c>
    </row>
    <row r="8" spans="13:23" x14ac:dyDescent="0.3">
      <c r="M8" s="15">
        <v>1</v>
      </c>
      <c r="N8" s="14">
        <v>0</v>
      </c>
      <c r="O8" s="14">
        <v>100</v>
      </c>
      <c r="P8" s="18">
        <f>90/7000*100</f>
        <v>1.2857142857142856</v>
      </c>
      <c r="Q8" t="s">
        <v>451</v>
      </c>
      <c r="R8">
        <f t="shared" si="0"/>
        <v>31.285714285714285</v>
      </c>
      <c r="S8">
        <f t="shared" si="1"/>
        <v>43.955714285714286</v>
      </c>
      <c r="T8">
        <f t="shared" si="2"/>
        <v>51.285714285714285</v>
      </c>
      <c r="U8">
        <f t="shared" ref="U8:U12" si="5">$U$3+P8</f>
        <v>52.955714285714286</v>
      </c>
      <c r="V8">
        <f t="shared" si="3"/>
        <v>11.285714285714285</v>
      </c>
      <c r="W8">
        <f t="shared" si="4"/>
        <v>7.9557142857142855</v>
      </c>
    </row>
    <row r="9" spans="13:23" x14ac:dyDescent="0.3">
      <c r="M9" s="15"/>
      <c r="N9" s="14">
        <v>100</v>
      </c>
      <c r="O9" s="14">
        <v>0</v>
      </c>
      <c r="P9" s="18">
        <f>36/7000*100</f>
        <v>0.51428571428571423</v>
      </c>
      <c r="Q9" t="s">
        <v>452</v>
      </c>
      <c r="R9">
        <f t="shared" si="0"/>
        <v>30.514285714285712</v>
      </c>
      <c r="S9">
        <f t="shared" si="1"/>
        <v>43.184285714285714</v>
      </c>
      <c r="T9">
        <f t="shared" si="2"/>
        <v>50.514285714285712</v>
      </c>
      <c r="U9">
        <f t="shared" si="5"/>
        <v>52.184285714285714</v>
      </c>
      <c r="V9">
        <f t="shared" si="3"/>
        <v>10.514285714285714</v>
      </c>
      <c r="W9">
        <f t="shared" si="4"/>
        <v>7.1842857142857142</v>
      </c>
    </row>
    <row r="10" spans="13:23" x14ac:dyDescent="0.3">
      <c r="M10" s="15" t="s">
        <v>459</v>
      </c>
      <c r="N10" s="18">
        <f>P5</f>
        <v>0</v>
      </c>
      <c r="O10" s="14">
        <v>0</v>
      </c>
      <c r="P10" s="18">
        <f>140/7000*100</f>
        <v>2</v>
      </c>
      <c r="Q10" t="s">
        <v>453</v>
      </c>
      <c r="R10">
        <f t="shared" si="0"/>
        <v>32</v>
      </c>
      <c r="S10">
        <f t="shared" si="1"/>
        <v>44.67</v>
      </c>
      <c r="T10">
        <f t="shared" si="2"/>
        <v>52</v>
      </c>
      <c r="U10">
        <f t="shared" si="5"/>
        <v>53.67</v>
      </c>
      <c r="V10">
        <f t="shared" si="3"/>
        <v>12</v>
      </c>
      <c r="W10">
        <f t="shared" si="4"/>
        <v>8.67</v>
      </c>
    </row>
    <row r="11" spans="13:23" x14ac:dyDescent="0.3">
      <c r="M11" s="15"/>
      <c r="N11" s="18">
        <f>P5</f>
        <v>0</v>
      </c>
      <c r="O11" s="14">
        <v>100</v>
      </c>
      <c r="P11" s="18">
        <f>6/7000*100</f>
        <v>8.5714285714285715E-2</v>
      </c>
      <c r="Q11" t="s">
        <v>454</v>
      </c>
      <c r="R11">
        <f t="shared" si="0"/>
        <v>30.085714285714285</v>
      </c>
      <c r="S11">
        <f t="shared" si="1"/>
        <v>42.755714285714291</v>
      </c>
      <c r="T11">
        <f t="shared" si="2"/>
        <v>50.085714285714289</v>
      </c>
      <c r="U11">
        <f t="shared" si="5"/>
        <v>51.755714285714291</v>
      </c>
      <c r="V11">
        <f t="shared" si="3"/>
        <v>10.085714285714285</v>
      </c>
      <c r="W11">
        <f t="shared" si="4"/>
        <v>6.7557142857142853</v>
      </c>
    </row>
    <row r="12" spans="13:23" x14ac:dyDescent="0.3">
      <c r="M12" t="s">
        <v>460</v>
      </c>
      <c r="N12" s="18">
        <f>P6</f>
        <v>16.400000000000002</v>
      </c>
      <c r="O12" s="14">
        <v>0</v>
      </c>
      <c r="P12" s="18">
        <f>200/7000*100</f>
        <v>2.8571428571428572</v>
      </c>
      <c r="Q12" t="s">
        <v>455</v>
      </c>
      <c r="R12">
        <f t="shared" si="0"/>
        <v>32.857142857142854</v>
      </c>
      <c r="S12">
        <f t="shared" si="1"/>
        <v>45.527142857142856</v>
      </c>
      <c r="T12">
        <f t="shared" si="2"/>
        <v>52.857142857142854</v>
      </c>
      <c r="U12">
        <f t="shared" si="5"/>
        <v>54.527142857142856</v>
      </c>
      <c r="V12">
        <f t="shared" si="3"/>
        <v>12.857142857142858</v>
      </c>
      <c r="W12">
        <f t="shared" si="4"/>
        <v>9.5271428571428576</v>
      </c>
    </row>
    <row r="13" spans="13:23" x14ac:dyDescent="0.3">
      <c r="M13" s="15"/>
      <c r="N13" s="18">
        <f>P6</f>
        <v>16.400000000000002</v>
      </c>
      <c r="O13" s="14">
        <v>100</v>
      </c>
    </row>
    <row r="14" spans="13:23" x14ac:dyDescent="0.3">
      <c r="M14" t="s">
        <v>461</v>
      </c>
      <c r="N14" s="18">
        <f>P8</f>
        <v>1.2857142857142856</v>
      </c>
      <c r="O14" s="14">
        <v>0</v>
      </c>
      <c r="Q14" s="18"/>
    </row>
    <row r="15" spans="13:23" x14ac:dyDescent="0.3">
      <c r="M15" s="15"/>
      <c r="N15" s="18">
        <f>P8</f>
        <v>1.2857142857142856</v>
      </c>
      <c r="O15" s="14">
        <v>100</v>
      </c>
      <c r="R15" s="16"/>
      <c r="S15" s="16"/>
      <c r="T15" s="16"/>
      <c r="U15" s="16"/>
      <c r="V15" s="16"/>
      <c r="W15" s="16"/>
    </row>
    <row r="16" spans="13:23" x14ac:dyDescent="0.3">
      <c r="M16" t="s">
        <v>462</v>
      </c>
      <c r="N16" s="18">
        <f>P9</f>
        <v>0.51428571428571423</v>
      </c>
      <c r="O16" s="14">
        <v>0</v>
      </c>
      <c r="R16" s="16"/>
      <c r="S16" s="16"/>
      <c r="T16" s="16"/>
      <c r="U16" s="16"/>
      <c r="V16" s="16"/>
      <c r="W16" s="16"/>
    </row>
    <row r="17" spans="13:23" x14ac:dyDescent="0.3">
      <c r="M17" s="15"/>
      <c r="N17" s="18">
        <f>P9</f>
        <v>0.51428571428571423</v>
      </c>
      <c r="O17" s="14">
        <v>100</v>
      </c>
      <c r="R17" s="16"/>
      <c r="S17" s="16"/>
      <c r="T17" s="16"/>
      <c r="U17" s="16"/>
      <c r="V17" s="16"/>
      <c r="W17" s="16"/>
    </row>
    <row r="18" spans="13:23" x14ac:dyDescent="0.3">
      <c r="M18" t="s">
        <v>463</v>
      </c>
      <c r="N18" s="18">
        <f>P10</f>
        <v>2</v>
      </c>
      <c r="O18" s="14">
        <v>0</v>
      </c>
      <c r="R18" s="16"/>
      <c r="S18" s="16"/>
      <c r="T18" s="16"/>
      <c r="U18" s="16"/>
      <c r="V18" s="16"/>
      <c r="W18" s="16"/>
    </row>
    <row r="19" spans="13:23" x14ac:dyDescent="0.3">
      <c r="M19" s="15"/>
      <c r="N19" s="18">
        <f>P10</f>
        <v>2</v>
      </c>
      <c r="O19" s="14">
        <v>100</v>
      </c>
      <c r="R19" s="16"/>
      <c r="S19" s="16"/>
      <c r="T19" s="16"/>
      <c r="U19" s="16"/>
      <c r="V19" s="16"/>
      <c r="W19" s="16"/>
    </row>
    <row r="20" spans="13:23" x14ac:dyDescent="0.3">
      <c r="M20" t="s">
        <v>464</v>
      </c>
      <c r="N20" s="18">
        <f>P11</f>
        <v>8.5714285714285715E-2</v>
      </c>
      <c r="O20" s="14">
        <v>0</v>
      </c>
      <c r="R20" s="16"/>
      <c r="S20" s="16"/>
      <c r="T20" s="16"/>
      <c r="U20" s="16"/>
      <c r="V20" s="16"/>
      <c r="W20" s="16"/>
    </row>
    <row r="21" spans="13:23" x14ac:dyDescent="0.3">
      <c r="M21" s="15"/>
      <c r="N21" s="18">
        <f>P11</f>
        <v>8.5714285714285715E-2</v>
      </c>
      <c r="O21" s="14">
        <v>100</v>
      </c>
    </row>
    <row r="22" spans="13:23" x14ac:dyDescent="0.3">
      <c r="M22" s="15" t="s">
        <v>472</v>
      </c>
      <c r="N22" s="18">
        <f>P7</f>
        <v>12.5</v>
      </c>
      <c r="O22" s="14">
        <v>0</v>
      </c>
    </row>
    <row r="23" spans="13:23" x14ac:dyDescent="0.3">
      <c r="M23" s="15"/>
      <c r="N23" s="18">
        <f>P7</f>
        <v>12.5</v>
      </c>
      <c r="O23" s="14">
        <v>100</v>
      </c>
    </row>
    <row r="24" spans="13:23" x14ac:dyDescent="0.3">
      <c r="M24" s="15" t="s">
        <v>473</v>
      </c>
      <c r="N24" s="18">
        <f>P12</f>
        <v>2.8571428571428572</v>
      </c>
      <c r="O24" s="14">
        <v>0</v>
      </c>
      <c r="R24" s="34" t="s">
        <v>468</v>
      </c>
      <c r="S24" s="35"/>
      <c r="T24" s="16"/>
      <c r="U24" s="16"/>
      <c r="V24" s="16"/>
      <c r="W24" s="16"/>
    </row>
    <row r="25" spans="13:23" x14ac:dyDescent="0.3">
      <c r="M25" s="15"/>
      <c r="N25" s="18">
        <f>P12</f>
        <v>2.8571428571428572</v>
      </c>
      <c r="O25" s="14">
        <v>100</v>
      </c>
      <c r="R25" s="18"/>
      <c r="S25" s="16"/>
      <c r="T25" s="16"/>
      <c r="U25" s="16"/>
      <c r="V25" s="16"/>
      <c r="W25" s="16"/>
    </row>
    <row r="26" spans="13:23" x14ac:dyDescent="0.3">
      <c r="M26" s="15" t="s">
        <v>465</v>
      </c>
      <c r="N26" s="14">
        <v>0</v>
      </c>
      <c r="O26" s="16">
        <f>R3</f>
        <v>30</v>
      </c>
      <c r="R26" s="22"/>
      <c r="S26" s="16"/>
      <c r="T26" s="16"/>
      <c r="U26" s="16"/>
      <c r="V26" s="16"/>
      <c r="W26" s="16"/>
    </row>
    <row r="27" spans="13:23" x14ac:dyDescent="0.3">
      <c r="M27" s="15"/>
      <c r="N27" s="14">
        <v>100</v>
      </c>
      <c r="O27" s="16">
        <f>R3</f>
        <v>30</v>
      </c>
      <c r="R27" s="22"/>
      <c r="S27" s="16"/>
      <c r="T27" s="16"/>
      <c r="U27" s="16"/>
      <c r="V27" s="16"/>
      <c r="W27" s="16"/>
    </row>
    <row r="28" spans="13:23" x14ac:dyDescent="0.3">
      <c r="M28" s="15" t="s">
        <v>443</v>
      </c>
      <c r="N28" s="14">
        <v>0</v>
      </c>
      <c r="O28" s="16">
        <f>S3</f>
        <v>42.67</v>
      </c>
      <c r="R28" s="22"/>
      <c r="S28" s="16"/>
      <c r="T28" s="16"/>
      <c r="U28" s="16"/>
      <c r="V28" s="16"/>
      <c r="W28" s="16"/>
    </row>
    <row r="29" spans="13:23" x14ac:dyDescent="0.3">
      <c r="M29" s="15"/>
      <c r="N29" s="14">
        <v>100</v>
      </c>
      <c r="O29" s="16">
        <f>S3</f>
        <v>42.67</v>
      </c>
      <c r="R29" s="22"/>
      <c r="S29" s="16"/>
      <c r="T29" s="16"/>
      <c r="U29" s="16"/>
      <c r="V29" s="16"/>
      <c r="W29" s="16"/>
    </row>
    <row r="30" spans="13:23" x14ac:dyDescent="0.3">
      <c r="M30" s="20" t="s">
        <v>466</v>
      </c>
      <c r="N30" s="14">
        <v>0</v>
      </c>
      <c r="O30" s="16">
        <f>T3</f>
        <v>50</v>
      </c>
      <c r="R30" s="22"/>
      <c r="S30" s="16"/>
    </row>
    <row r="31" spans="13:23" x14ac:dyDescent="0.3">
      <c r="M31" s="19"/>
      <c r="N31" s="14">
        <v>100</v>
      </c>
      <c r="O31" s="16">
        <f>T3</f>
        <v>50</v>
      </c>
      <c r="R31" s="22"/>
      <c r="S31" s="16"/>
    </row>
    <row r="32" spans="13:23" x14ac:dyDescent="0.3">
      <c r="M32" s="15" t="s">
        <v>446</v>
      </c>
      <c r="N32" s="14">
        <v>0</v>
      </c>
      <c r="O32" s="16">
        <f>U3</f>
        <v>51.67</v>
      </c>
      <c r="R32" s="24"/>
      <c r="S32" s="16"/>
    </row>
    <row r="33" spans="13:18" x14ac:dyDescent="0.3">
      <c r="M33" s="15"/>
      <c r="N33" s="14">
        <v>100</v>
      </c>
      <c r="O33" s="16">
        <f>U3</f>
        <v>51.67</v>
      </c>
      <c r="R33" s="25"/>
    </row>
    <row r="34" spans="13:18" x14ac:dyDescent="0.3">
      <c r="M34" s="15" t="s">
        <v>445</v>
      </c>
      <c r="N34" s="14">
        <v>0</v>
      </c>
      <c r="O34" s="16">
        <f>V3</f>
        <v>10</v>
      </c>
    </row>
    <row r="35" spans="13:18" x14ac:dyDescent="0.3">
      <c r="M35" s="15"/>
      <c r="N35" s="14">
        <v>100</v>
      </c>
      <c r="O35" s="16">
        <f>V3</f>
        <v>10</v>
      </c>
    </row>
    <row r="36" spans="13:18" x14ac:dyDescent="0.3">
      <c r="M36" s="15" t="s">
        <v>467</v>
      </c>
      <c r="N36" s="14">
        <v>0</v>
      </c>
      <c r="O36" s="16">
        <f>W3</f>
        <v>6.67</v>
      </c>
    </row>
    <row r="37" spans="13:18" x14ac:dyDescent="0.3">
      <c r="M37" s="15"/>
      <c r="N37" s="14">
        <v>100</v>
      </c>
      <c r="O37" s="16">
        <f>W3</f>
        <v>6.67</v>
      </c>
    </row>
  </sheetData>
  <mergeCells count="3">
    <mergeCell ref="M2:O2"/>
    <mergeCell ref="Q2:W2"/>
    <mergeCell ref="R24:S24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B8F7-F555-47A8-AE8B-D1790E792728}">
  <dimension ref="D2:X44"/>
  <sheetViews>
    <sheetView topLeftCell="A24" workbookViewId="0">
      <selection activeCell="R38" sqref="R38"/>
    </sheetView>
  </sheetViews>
  <sheetFormatPr defaultRowHeight="14.4" x14ac:dyDescent="0.3"/>
  <cols>
    <col min="12" max="12" width="13.21875" customWidth="1"/>
    <col min="13" max="13" width="9.77734375" customWidth="1"/>
    <col min="14" max="14" width="9.6640625" customWidth="1"/>
  </cols>
  <sheetData>
    <row r="2" ht="10.050000000000001" customHeight="1" x14ac:dyDescent="0.3"/>
    <row r="3" ht="10.050000000000001" customHeight="1" x14ac:dyDescent="0.3"/>
    <row r="4" ht="10.050000000000001" customHeight="1" x14ac:dyDescent="0.3"/>
    <row r="5" ht="10.050000000000001" customHeight="1" x14ac:dyDescent="0.3"/>
    <row r="6" ht="10.050000000000001" customHeight="1" x14ac:dyDescent="0.3"/>
    <row r="7" ht="10.050000000000001" customHeight="1" x14ac:dyDescent="0.3"/>
    <row r="8" ht="10.050000000000001" customHeight="1" x14ac:dyDescent="0.3"/>
    <row r="9" ht="10.050000000000001" customHeight="1" x14ac:dyDescent="0.3"/>
    <row r="10" ht="10.050000000000001" customHeight="1" x14ac:dyDescent="0.3"/>
    <row r="11" ht="10.050000000000001" customHeight="1" x14ac:dyDescent="0.3"/>
    <row r="12" ht="10.050000000000001" customHeight="1" x14ac:dyDescent="0.3"/>
    <row r="21" spans="4:24" x14ac:dyDescent="0.3">
      <c r="L21" t="s">
        <v>434</v>
      </c>
      <c r="M21" t="s">
        <v>435</v>
      </c>
      <c r="N21" t="s">
        <v>436</v>
      </c>
      <c r="O21" t="s">
        <v>437</v>
      </c>
    </row>
    <row r="22" spans="4:24" x14ac:dyDescent="0.3">
      <c r="L22" s="13">
        <v>0.6</v>
      </c>
      <c r="M22">
        <v>0</v>
      </c>
      <c r="N22">
        <v>60</v>
      </c>
      <c r="O22">
        <v>60</v>
      </c>
    </row>
    <row r="23" spans="4:24" x14ac:dyDescent="0.3">
      <c r="L23" s="13">
        <v>0.8</v>
      </c>
      <c r="M23">
        <v>0</v>
      </c>
      <c r="N23">
        <v>80</v>
      </c>
      <c r="O23">
        <v>80</v>
      </c>
    </row>
    <row r="24" spans="4:24" x14ac:dyDescent="0.3">
      <c r="L24" s="13">
        <v>1</v>
      </c>
      <c r="M24">
        <v>0</v>
      </c>
      <c r="N24">
        <v>80</v>
      </c>
      <c r="O24">
        <v>100</v>
      </c>
    </row>
    <row r="31" spans="4:24" x14ac:dyDescent="0.3">
      <c r="D31" s="13"/>
      <c r="J31" s="16" t="s">
        <v>469</v>
      </c>
      <c r="K31" s="39" t="s">
        <v>241</v>
      </c>
      <c r="L31" s="39"/>
      <c r="M31" s="39" t="s">
        <v>259</v>
      </c>
      <c r="N31" s="39"/>
      <c r="O31" s="39" t="s">
        <v>304</v>
      </c>
      <c r="P31" s="39"/>
      <c r="Q31" s="39" t="s">
        <v>245</v>
      </c>
      <c r="R31" s="39"/>
      <c r="S31" s="39" t="s">
        <v>253</v>
      </c>
      <c r="T31" s="39"/>
      <c r="U31" s="39" t="s">
        <v>278</v>
      </c>
      <c r="V31" s="39"/>
      <c r="W31" s="34" t="s">
        <v>475</v>
      </c>
      <c r="X31" s="35"/>
    </row>
    <row r="32" spans="4:24" x14ac:dyDescent="0.3">
      <c r="D32" s="13"/>
      <c r="J32" s="16" t="s">
        <v>470</v>
      </c>
      <c r="K32" s="39">
        <v>343705</v>
      </c>
      <c r="L32" s="39"/>
      <c r="M32" s="40">
        <v>173083</v>
      </c>
      <c r="N32" s="40"/>
      <c r="O32" s="39">
        <v>125294</v>
      </c>
      <c r="P32" s="39"/>
      <c r="Q32" s="39">
        <v>118359</v>
      </c>
      <c r="R32" s="39"/>
      <c r="S32" s="39">
        <v>65327</v>
      </c>
      <c r="T32" s="39"/>
      <c r="U32" s="39">
        <v>19500</v>
      </c>
      <c r="V32" s="39"/>
      <c r="W32" s="38">
        <v>165030.29999999999</v>
      </c>
      <c r="X32" s="38"/>
    </row>
    <row r="33" spans="4:24" x14ac:dyDescent="0.3">
      <c r="D33" s="13"/>
      <c r="J33" s="16" t="s">
        <v>471</v>
      </c>
      <c r="K33" s="21">
        <v>2000</v>
      </c>
      <c r="L33" s="21">
        <v>3068000</v>
      </c>
      <c r="M33" s="21">
        <v>2000</v>
      </c>
      <c r="N33" s="21">
        <v>762000</v>
      </c>
      <c r="O33" s="21">
        <v>1000</v>
      </c>
      <c r="P33" s="21">
        <v>1395000</v>
      </c>
      <c r="Q33" s="21">
        <v>1000</v>
      </c>
      <c r="R33" s="21">
        <v>1454000</v>
      </c>
      <c r="S33" s="21">
        <v>1000</v>
      </c>
      <c r="T33" s="21">
        <v>836000</v>
      </c>
      <c r="U33" s="21">
        <v>4000</v>
      </c>
      <c r="V33" s="21">
        <v>60000</v>
      </c>
      <c r="W33" s="16"/>
      <c r="X33" s="16"/>
    </row>
    <row r="36" spans="4:24" ht="15" thickBot="1" x14ac:dyDescent="0.35"/>
    <row r="37" spans="4:24" ht="22.2" thickBot="1" x14ac:dyDescent="0.35">
      <c r="J37" s="26" t="s">
        <v>476</v>
      </c>
      <c r="K37" s="26" t="s">
        <v>477</v>
      </c>
      <c r="L37" s="26" t="s">
        <v>478</v>
      </c>
      <c r="M37" s="26" t="s">
        <v>479</v>
      </c>
      <c r="N37" s="27" t="s">
        <v>480</v>
      </c>
    </row>
    <row r="38" spans="4:24" ht="22.2" thickBot="1" x14ac:dyDescent="0.35">
      <c r="J38" s="26" t="s">
        <v>253</v>
      </c>
      <c r="K38" s="28">
        <v>65326.53</v>
      </c>
      <c r="L38" s="30">
        <v>19000</v>
      </c>
      <c r="M38" s="26" t="s">
        <v>483</v>
      </c>
      <c r="N38" s="27" t="s">
        <v>484</v>
      </c>
    </row>
    <row r="39" spans="4:24" ht="22.2" thickBot="1" x14ac:dyDescent="0.35">
      <c r="J39" s="26" t="s">
        <v>241</v>
      </c>
      <c r="K39" s="28">
        <v>343704.55</v>
      </c>
      <c r="L39" s="30">
        <v>122500</v>
      </c>
      <c r="M39" s="26" t="s">
        <v>485</v>
      </c>
      <c r="N39" s="27" t="s">
        <v>486</v>
      </c>
    </row>
    <row r="40" spans="4:24" ht="22.2" thickBot="1" x14ac:dyDescent="0.35">
      <c r="J40" s="26" t="s">
        <v>245</v>
      </c>
      <c r="K40" s="28">
        <v>118358.97</v>
      </c>
      <c r="L40" s="30">
        <v>25000</v>
      </c>
      <c r="M40" s="26" t="s">
        <v>487</v>
      </c>
      <c r="N40" s="27" t="s">
        <v>488</v>
      </c>
    </row>
    <row r="41" spans="4:24" ht="22.2" thickBot="1" x14ac:dyDescent="0.35">
      <c r="J41" s="26" t="s">
        <v>304</v>
      </c>
      <c r="K41" s="28">
        <v>125294.12</v>
      </c>
      <c r="L41" s="30">
        <v>23000</v>
      </c>
      <c r="M41" s="26" t="s">
        <v>489</v>
      </c>
      <c r="N41" s="27" t="s">
        <v>490</v>
      </c>
    </row>
    <row r="42" spans="4:24" ht="22.2" thickBot="1" x14ac:dyDescent="0.35">
      <c r="J42" s="26" t="s">
        <v>259</v>
      </c>
      <c r="K42" s="28">
        <v>173083.33</v>
      </c>
      <c r="L42" s="30">
        <v>87000</v>
      </c>
      <c r="M42" s="26" t="s">
        <v>491</v>
      </c>
      <c r="N42" s="27" t="s">
        <v>492</v>
      </c>
    </row>
    <row r="43" spans="4:24" ht="15" thickBot="1" x14ac:dyDescent="0.35">
      <c r="J43" s="26" t="s">
        <v>481</v>
      </c>
      <c r="K43" s="28">
        <v>19500</v>
      </c>
      <c r="L43" s="30">
        <v>7000</v>
      </c>
      <c r="M43" s="26" t="s">
        <v>493</v>
      </c>
      <c r="N43" s="27" t="s">
        <v>494</v>
      </c>
    </row>
    <row r="44" spans="4:24" ht="22.2" thickBot="1" x14ac:dyDescent="0.35">
      <c r="J44" s="26" t="s">
        <v>482</v>
      </c>
      <c r="K44" s="28">
        <v>165000</v>
      </c>
      <c r="L44" s="30">
        <v>37000</v>
      </c>
      <c r="M44" s="26" t="s">
        <v>489</v>
      </c>
      <c r="N44" s="27" t="s">
        <v>486</v>
      </c>
    </row>
  </sheetData>
  <mergeCells count="14">
    <mergeCell ref="W31:X31"/>
    <mergeCell ref="W32:X32"/>
    <mergeCell ref="K32:L32"/>
    <mergeCell ref="M32:N32"/>
    <mergeCell ref="O32:P32"/>
    <mergeCell ref="Q32:R32"/>
    <mergeCell ref="S32:T32"/>
    <mergeCell ref="U32:V32"/>
    <mergeCell ref="K31:L31"/>
    <mergeCell ref="M31:N31"/>
    <mergeCell ref="O31:P31"/>
    <mergeCell ref="Q31:R31"/>
    <mergeCell ref="S31:T31"/>
    <mergeCell ref="U31:V31"/>
  </mergeCells>
  <pageMargins left="0.7" right="0.7" top="0.75" bottom="0.75" header="0.3" footer="0.3"/>
  <drawing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workbookViewId="0">
      <selection activeCell="A2" sqref="A2"/>
    </sheetView>
  </sheetViews>
  <sheetFormatPr defaultRowHeight="14.4" x14ac:dyDescent="0.3"/>
  <cols>
    <col min="1" max="2" width="14" customWidth="1"/>
    <col min="3" max="5" width="12" customWidth="1"/>
  </cols>
  <sheetData>
    <row r="1" spans="1:5" ht="17.399999999999999" x14ac:dyDescent="0.3">
      <c r="A1" s="1" t="s">
        <v>0</v>
      </c>
    </row>
    <row r="2" spans="1:5" ht="15.6" x14ac:dyDescent="0.3">
      <c r="A2" s="2" t="s">
        <v>407</v>
      </c>
    </row>
    <row r="3" spans="1:5" x14ac:dyDescent="0.3">
      <c r="A3" s="3" t="s">
        <v>2</v>
      </c>
      <c r="B3" s="3" t="s">
        <v>9</v>
      </c>
      <c r="C3" s="3" t="s">
        <v>10</v>
      </c>
      <c r="D3" s="36" t="s">
        <v>3</v>
      </c>
      <c r="E3" s="37"/>
    </row>
    <row r="4" spans="1:5" x14ac:dyDescent="0.3">
      <c r="A4" s="4" t="s">
        <v>11</v>
      </c>
      <c r="B4" s="6">
        <v>19.826666666666672</v>
      </c>
      <c r="C4" s="6">
        <v>1487</v>
      </c>
      <c r="D4" s="5">
        <v>1</v>
      </c>
      <c r="E4" s="6">
        <v>75</v>
      </c>
    </row>
    <row r="5" spans="1:5" x14ac:dyDescent="0.3">
      <c r="A5" s="7"/>
      <c r="B5" s="7"/>
      <c r="C5" s="7"/>
      <c r="D5" s="7" t="s">
        <v>6</v>
      </c>
      <c r="E5" s="7">
        <v>75</v>
      </c>
    </row>
    <row r="6" spans="1:5" x14ac:dyDescent="0.3">
      <c r="A6" s="7"/>
      <c r="B6" s="7"/>
      <c r="C6" s="7"/>
      <c r="D6" s="7" t="s">
        <v>7</v>
      </c>
      <c r="E6" s="7">
        <v>12</v>
      </c>
    </row>
    <row r="25" spans="1:4" x14ac:dyDescent="0.3">
      <c r="A25" s="3" t="s">
        <v>12</v>
      </c>
      <c r="B25" s="3" t="s">
        <v>13</v>
      </c>
      <c r="C25" s="3"/>
      <c r="D25" s="3" t="s">
        <v>14</v>
      </c>
    </row>
    <row r="26" spans="1:4" x14ac:dyDescent="0.3">
      <c r="A26" s="4" t="s">
        <v>15</v>
      </c>
      <c r="B26" s="6" t="s">
        <v>237</v>
      </c>
      <c r="C26" s="6" t="s">
        <v>75</v>
      </c>
      <c r="D26" s="6"/>
    </row>
    <row r="27" spans="1:4" x14ac:dyDescent="0.3">
      <c r="A27" s="4" t="s">
        <v>18</v>
      </c>
      <c r="B27" s="6" t="s">
        <v>324</v>
      </c>
      <c r="C27" s="6" t="s">
        <v>282</v>
      </c>
      <c r="D27" s="6"/>
    </row>
    <row r="28" spans="1:4" x14ac:dyDescent="0.3">
      <c r="A28" s="4" t="s">
        <v>21</v>
      </c>
      <c r="B28" s="6" t="s">
        <v>325</v>
      </c>
      <c r="C28" s="6" t="s">
        <v>23</v>
      </c>
      <c r="D28" s="6"/>
    </row>
    <row r="29" spans="1:4" x14ac:dyDescent="0.3">
      <c r="A29" s="4" t="s">
        <v>24</v>
      </c>
      <c r="B29" s="6" t="s">
        <v>326</v>
      </c>
      <c r="C29" s="6" t="s">
        <v>38</v>
      </c>
      <c r="D29" s="6"/>
    </row>
    <row r="30" spans="1:4" x14ac:dyDescent="0.3">
      <c r="A30" s="4" t="s">
        <v>26</v>
      </c>
      <c r="B30" s="6" t="s">
        <v>246</v>
      </c>
      <c r="C30" s="6" t="s">
        <v>75</v>
      </c>
      <c r="D30" s="6"/>
    </row>
    <row r="31" spans="1:4" x14ac:dyDescent="0.3">
      <c r="A31" s="4" t="s">
        <v>28</v>
      </c>
      <c r="B31" s="6" t="s">
        <v>327</v>
      </c>
      <c r="C31" s="6" t="s">
        <v>210</v>
      </c>
      <c r="D31" s="6"/>
    </row>
    <row r="32" spans="1:4" x14ac:dyDescent="0.3">
      <c r="A32" s="4" t="s">
        <v>31</v>
      </c>
      <c r="B32" s="6" t="s">
        <v>328</v>
      </c>
      <c r="C32" s="6" t="s">
        <v>33</v>
      </c>
      <c r="D32" s="6"/>
    </row>
    <row r="33" spans="1:4" x14ac:dyDescent="0.3">
      <c r="A33" s="4" t="s">
        <v>34</v>
      </c>
      <c r="B33" s="6" t="s">
        <v>329</v>
      </c>
      <c r="C33" s="6" t="s">
        <v>75</v>
      </c>
      <c r="D33" s="6"/>
    </row>
    <row r="34" spans="1:4" x14ac:dyDescent="0.3">
      <c r="A34" s="4" t="s">
        <v>36</v>
      </c>
      <c r="B34" s="6" t="s">
        <v>331</v>
      </c>
      <c r="C34" s="6" t="s">
        <v>75</v>
      </c>
      <c r="D34" s="6"/>
    </row>
    <row r="35" spans="1:4" x14ac:dyDescent="0.3">
      <c r="A35" s="4" t="s">
        <v>39</v>
      </c>
      <c r="B35" s="6" t="s">
        <v>333</v>
      </c>
      <c r="C35" s="6" t="s">
        <v>332</v>
      </c>
      <c r="D35" s="6"/>
    </row>
    <row r="36" spans="1:4" x14ac:dyDescent="0.3">
      <c r="A36" s="4" t="s">
        <v>42</v>
      </c>
      <c r="B36" s="6" t="s">
        <v>334</v>
      </c>
      <c r="C36" s="6" t="s">
        <v>330</v>
      </c>
      <c r="D36" s="6"/>
    </row>
    <row r="37" spans="1:4" x14ac:dyDescent="0.3">
      <c r="A37" s="4" t="s">
        <v>44</v>
      </c>
      <c r="B37" s="6" t="s">
        <v>335</v>
      </c>
      <c r="C37" s="6" t="s">
        <v>17</v>
      </c>
      <c r="D37" s="6"/>
    </row>
    <row r="38" spans="1:4" x14ac:dyDescent="0.3">
      <c r="A38" s="4" t="s">
        <v>49</v>
      </c>
      <c r="B38" s="6" t="s">
        <v>336</v>
      </c>
      <c r="C38" s="6" t="s">
        <v>41</v>
      </c>
      <c r="D38" s="6"/>
    </row>
    <row r="39" spans="1:4" x14ac:dyDescent="0.3">
      <c r="A39" s="4" t="s">
        <v>52</v>
      </c>
      <c r="B39" s="6" t="s">
        <v>337</v>
      </c>
      <c r="C39" s="6" t="s">
        <v>282</v>
      </c>
      <c r="D39" s="6"/>
    </row>
    <row r="40" spans="1:4" x14ac:dyDescent="0.3">
      <c r="A40" s="4" t="s">
        <v>54</v>
      </c>
      <c r="B40" s="6" t="s">
        <v>338</v>
      </c>
      <c r="C40" s="6" t="s">
        <v>221</v>
      </c>
      <c r="D40" s="6"/>
    </row>
    <row r="41" spans="1:4" x14ac:dyDescent="0.3">
      <c r="A41" s="4" t="s">
        <v>56</v>
      </c>
      <c r="B41" s="6" t="s">
        <v>339</v>
      </c>
      <c r="C41" s="6" t="s">
        <v>38</v>
      </c>
      <c r="D41" s="6"/>
    </row>
    <row r="42" spans="1:4" x14ac:dyDescent="0.3">
      <c r="A42" s="4" t="s">
        <v>62</v>
      </c>
      <c r="B42" s="6" t="s">
        <v>340</v>
      </c>
      <c r="C42" s="6" t="s">
        <v>33</v>
      </c>
      <c r="D42" s="6"/>
    </row>
    <row r="43" spans="1:4" x14ac:dyDescent="0.3">
      <c r="A43" s="4" t="s">
        <v>65</v>
      </c>
      <c r="B43" s="6" t="s">
        <v>341</v>
      </c>
      <c r="C43" s="6" t="s">
        <v>58</v>
      </c>
      <c r="D43" s="6"/>
    </row>
    <row r="44" spans="1:4" x14ac:dyDescent="0.3">
      <c r="A44" s="4" t="s">
        <v>67</v>
      </c>
      <c r="B44" s="6" t="s">
        <v>343</v>
      </c>
      <c r="C44" s="6" t="s">
        <v>75</v>
      </c>
      <c r="D44" s="6"/>
    </row>
    <row r="45" spans="1:4" x14ac:dyDescent="0.3">
      <c r="A45" s="4" t="s">
        <v>71</v>
      </c>
      <c r="B45" s="6" t="s">
        <v>344</v>
      </c>
      <c r="C45" s="6" t="s">
        <v>58</v>
      </c>
      <c r="D45" s="6"/>
    </row>
    <row r="46" spans="1:4" x14ac:dyDescent="0.3">
      <c r="A46" s="4" t="s">
        <v>73</v>
      </c>
      <c r="B46" s="6" t="s">
        <v>345</v>
      </c>
      <c r="C46" s="6" t="s">
        <v>75</v>
      </c>
      <c r="D46" s="6"/>
    </row>
    <row r="47" spans="1:4" x14ac:dyDescent="0.3">
      <c r="A47" s="4" t="s">
        <v>76</v>
      </c>
      <c r="B47" s="6" t="s">
        <v>346</v>
      </c>
      <c r="C47" s="6" t="s">
        <v>408</v>
      </c>
      <c r="D47" s="6"/>
    </row>
    <row r="48" spans="1:4" x14ac:dyDescent="0.3">
      <c r="A48" s="4" t="s">
        <v>78</v>
      </c>
      <c r="B48" s="6" t="s">
        <v>348</v>
      </c>
      <c r="C48" s="6" t="s">
        <v>75</v>
      </c>
      <c r="D48" s="6"/>
    </row>
    <row r="49" spans="1:4" x14ac:dyDescent="0.3">
      <c r="A49" s="4" t="s">
        <v>80</v>
      </c>
      <c r="B49" s="6" t="s">
        <v>349</v>
      </c>
      <c r="C49" s="6" t="s">
        <v>75</v>
      </c>
      <c r="D49" s="6"/>
    </row>
    <row r="50" spans="1:4" x14ac:dyDescent="0.3">
      <c r="A50" s="4" t="s">
        <v>83</v>
      </c>
      <c r="B50" s="6" t="s">
        <v>350</v>
      </c>
      <c r="C50" s="6" t="s">
        <v>409</v>
      </c>
      <c r="D50" s="6"/>
    </row>
    <row r="51" spans="1:4" x14ac:dyDescent="0.3">
      <c r="A51" s="4" t="s">
        <v>85</v>
      </c>
      <c r="B51" s="6" t="s">
        <v>351</v>
      </c>
      <c r="C51" s="6" t="s">
        <v>75</v>
      </c>
      <c r="D51" s="6"/>
    </row>
    <row r="52" spans="1:4" x14ac:dyDescent="0.3">
      <c r="A52" s="4" t="s">
        <v>87</v>
      </c>
      <c r="B52" s="6" t="s">
        <v>352</v>
      </c>
      <c r="C52" s="6" t="s">
        <v>75</v>
      </c>
      <c r="D52" s="6"/>
    </row>
    <row r="53" spans="1:4" x14ac:dyDescent="0.3">
      <c r="A53" s="4" t="s">
        <v>91</v>
      </c>
      <c r="B53" s="6" t="s">
        <v>265</v>
      </c>
      <c r="C53" s="6" t="s">
        <v>17</v>
      </c>
      <c r="D53" s="6"/>
    </row>
    <row r="54" spans="1:4" x14ac:dyDescent="0.3">
      <c r="A54" s="4" t="s">
        <v>93</v>
      </c>
      <c r="B54" s="6" t="s">
        <v>353</v>
      </c>
      <c r="C54" s="6" t="s">
        <v>75</v>
      </c>
      <c r="D54" s="6"/>
    </row>
    <row r="55" spans="1:4" x14ac:dyDescent="0.3">
      <c r="A55" s="4" t="s">
        <v>95</v>
      </c>
      <c r="B55" s="6" t="s">
        <v>267</v>
      </c>
      <c r="C55" s="6" t="s">
        <v>354</v>
      </c>
      <c r="D55" s="6"/>
    </row>
    <row r="56" spans="1:4" x14ac:dyDescent="0.3">
      <c r="A56" s="4" t="s">
        <v>97</v>
      </c>
      <c r="B56" s="6" t="s">
        <v>355</v>
      </c>
      <c r="C56" s="6" t="s">
        <v>410</v>
      </c>
      <c r="D56" s="6"/>
    </row>
    <row r="57" spans="1:4" x14ac:dyDescent="0.3">
      <c r="A57" s="4" t="s">
        <v>100</v>
      </c>
      <c r="B57" s="6" t="s">
        <v>270</v>
      </c>
      <c r="C57" s="6" t="s">
        <v>75</v>
      </c>
      <c r="D57" s="6"/>
    </row>
    <row r="58" spans="1:4" x14ac:dyDescent="0.3">
      <c r="A58" s="4" t="s">
        <v>102</v>
      </c>
      <c r="B58" s="6" t="s">
        <v>357</v>
      </c>
      <c r="C58" s="6" t="s">
        <v>20</v>
      </c>
      <c r="D58" s="6"/>
    </row>
    <row r="59" spans="1:4" x14ac:dyDescent="0.3">
      <c r="A59" s="4" t="s">
        <v>104</v>
      </c>
      <c r="B59" s="6" t="s">
        <v>358</v>
      </c>
      <c r="C59" s="6" t="s">
        <v>46</v>
      </c>
      <c r="D59" s="6"/>
    </row>
    <row r="60" spans="1:4" x14ac:dyDescent="0.3">
      <c r="A60" s="4" t="s">
        <v>106</v>
      </c>
      <c r="B60" s="6" t="s">
        <v>271</v>
      </c>
      <c r="C60" s="6" t="s">
        <v>58</v>
      </c>
      <c r="D60" s="6"/>
    </row>
    <row r="61" spans="1:4" x14ac:dyDescent="0.3">
      <c r="A61" s="4" t="s">
        <v>108</v>
      </c>
      <c r="B61" s="6" t="s">
        <v>359</v>
      </c>
      <c r="C61" s="6" t="s">
        <v>46</v>
      </c>
      <c r="D61" s="6"/>
    </row>
    <row r="62" spans="1:4" x14ac:dyDescent="0.3">
      <c r="A62" s="4" t="s">
        <v>111</v>
      </c>
      <c r="B62" s="6" t="s">
        <v>360</v>
      </c>
      <c r="C62" s="6" t="s">
        <v>354</v>
      </c>
      <c r="D62" s="6"/>
    </row>
    <row r="63" spans="1:4" x14ac:dyDescent="0.3">
      <c r="A63" s="4" t="s">
        <v>114</v>
      </c>
      <c r="B63" s="6" t="s">
        <v>361</v>
      </c>
      <c r="C63" s="6" t="s">
        <v>38</v>
      </c>
      <c r="D63" s="6"/>
    </row>
    <row r="64" spans="1:4" x14ac:dyDescent="0.3">
      <c r="A64" s="4" t="s">
        <v>116</v>
      </c>
      <c r="B64" s="6" t="s">
        <v>362</v>
      </c>
      <c r="C64" s="6" t="s">
        <v>75</v>
      </c>
      <c r="D64" s="6"/>
    </row>
    <row r="65" spans="1:4" x14ac:dyDescent="0.3">
      <c r="A65" s="4" t="s">
        <v>118</v>
      </c>
      <c r="B65" s="6" t="s">
        <v>119</v>
      </c>
      <c r="C65" s="6" t="s">
        <v>58</v>
      </c>
      <c r="D65" s="6"/>
    </row>
    <row r="66" spans="1:4" x14ac:dyDescent="0.3">
      <c r="A66" s="4" t="s">
        <v>122</v>
      </c>
      <c r="B66" s="6" t="s">
        <v>363</v>
      </c>
      <c r="C66" s="6" t="s">
        <v>17</v>
      </c>
      <c r="D66" s="6"/>
    </row>
    <row r="67" spans="1:4" x14ac:dyDescent="0.3">
      <c r="A67" s="4" t="s">
        <v>124</v>
      </c>
      <c r="B67" s="6" t="s">
        <v>364</v>
      </c>
      <c r="C67" s="6" t="s">
        <v>33</v>
      </c>
      <c r="D67" s="6"/>
    </row>
    <row r="68" spans="1:4" x14ac:dyDescent="0.3">
      <c r="A68" s="4" t="s">
        <v>132</v>
      </c>
      <c r="B68" s="6" t="s">
        <v>365</v>
      </c>
      <c r="C68" s="6" t="s">
        <v>134</v>
      </c>
      <c r="D68" s="6"/>
    </row>
    <row r="69" spans="1:4" x14ac:dyDescent="0.3">
      <c r="A69" s="4" t="s">
        <v>135</v>
      </c>
      <c r="B69" s="6" t="s">
        <v>367</v>
      </c>
      <c r="C69" s="6" t="s">
        <v>411</v>
      </c>
      <c r="D69" s="6"/>
    </row>
    <row r="70" spans="1:4" x14ac:dyDescent="0.3">
      <c r="A70" s="4" t="s">
        <v>138</v>
      </c>
      <c r="B70" s="6" t="s">
        <v>139</v>
      </c>
      <c r="C70" s="6" t="s">
        <v>51</v>
      </c>
      <c r="D70" s="6"/>
    </row>
    <row r="71" spans="1:4" x14ac:dyDescent="0.3">
      <c r="A71" s="4" t="s">
        <v>142</v>
      </c>
      <c r="B71" s="6" t="s">
        <v>370</v>
      </c>
      <c r="C71" s="6" t="s">
        <v>203</v>
      </c>
      <c r="D71" s="6"/>
    </row>
    <row r="72" spans="1:4" x14ac:dyDescent="0.3">
      <c r="A72" s="4" t="s">
        <v>144</v>
      </c>
      <c r="B72" s="6" t="s">
        <v>371</v>
      </c>
      <c r="C72" s="6" t="s">
        <v>113</v>
      </c>
      <c r="D72" s="6"/>
    </row>
    <row r="73" spans="1:4" x14ac:dyDescent="0.3">
      <c r="A73" s="4" t="s">
        <v>146</v>
      </c>
      <c r="B73" s="6" t="s">
        <v>288</v>
      </c>
      <c r="C73" s="6" t="s">
        <v>46</v>
      </c>
      <c r="D73" s="6"/>
    </row>
    <row r="74" spans="1:4" x14ac:dyDescent="0.3">
      <c r="A74" s="4" t="s">
        <v>148</v>
      </c>
      <c r="B74" s="6" t="s">
        <v>372</v>
      </c>
      <c r="C74" s="6" t="s">
        <v>23</v>
      </c>
      <c r="D74" s="6"/>
    </row>
    <row r="75" spans="1:4" x14ac:dyDescent="0.3">
      <c r="A75" s="4" t="s">
        <v>151</v>
      </c>
      <c r="B75" s="6" t="s">
        <v>374</v>
      </c>
      <c r="C75" s="6" t="s">
        <v>282</v>
      </c>
      <c r="D75" s="6"/>
    </row>
    <row r="76" spans="1:4" x14ac:dyDescent="0.3">
      <c r="A76" s="4" t="s">
        <v>153</v>
      </c>
      <c r="B76" s="6" t="s">
        <v>375</v>
      </c>
      <c r="C76" s="6" t="s">
        <v>75</v>
      </c>
      <c r="D76" s="6"/>
    </row>
    <row r="77" spans="1:4" x14ac:dyDescent="0.3">
      <c r="A77" s="4" t="s">
        <v>155</v>
      </c>
      <c r="B77" s="6" t="s">
        <v>293</v>
      </c>
      <c r="C77" s="6" t="s">
        <v>38</v>
      </c>
      <c r="D77" s="6"/>
    </row>
    <row r="78" spans="1:4" x14ac:dyDescent="0.3">
      <c r="A78" s="4" t="s">
        <v>157</v>
      </c>
      <c r="B78" s="6" t="s">
        <v>376</v>
      </c>
      <c r="C78" s="6" t="s">
        <v>30</v>
      </c>
      <c r="D78" s="6"/>
    </row>
    <row r="79" spans="1:4" x14ac:dyDescent="0.3">
      <c r="A79" s="4" t="s">
        <v>159</v>
      </c>
      <c r="B79" s="6" t="s">
        <v>377</v>
      </c>
      <c r="C79" s="6" t="s">
        <v>17</v>
      </c>
      <c r="D79" s="6"/>
    </row>
    <row r="80" spans="1:4" x14ac:dyDescent="0.3">
      <c r="A80" s="4" t="s">
        <v>161</v>
      </c>
      <c r="B80" s="6" t="s">
        <v>378</v>
      </c>
      <c r="C80" s="6" t="s">
        <v>75</v>
      </c>
      <c r="D80" s="6"/>
    </row>
    <row r="81" spans="1:4" x14ac:dyDescent="0.3">
      <c r="A81" s="4" t="s">
        <v>164</v>
      </c>
      <c r="B81" s="6" t="s">
        <v>380</v>
      </c>
      <c r="C81" s="6" t="s">
        <v>41</v>
      </c>
      <c r="D81" s="6"/>
    </row>
    <row r="82" spans="1:4" x14ac:dyDescent="0.3">
      <c r="A82" s="4" t="s">
        <v>166</v>
      </c>
      <c r="B82" s="6" t="s">
        <v>381</v>
      </c>
      <c r="C82" s="6" t="s">
        <v>23</v>
      </c>
      <c r="D82" s="6"/>
    </row>
    <row r="83" spans="1:4" x14ac:dyDescent="0.3">
      <c r="A83" s="4" t="s">
        <v>170</v>
      </c>
      <c r="B83" s="6" t="s">
        <v>382</v>
      </c>
      <c r="C83" s="6" t="s">
        <v>17</v>
      </c>
      <c r="D83" s="6"/>
    </row>
    <row r="84" spans="1:4" x14ac:dyDescent="0.3">
      <c r="A84" s="4" t="s">
        <v>172</v>
      </c>
      <c r="B84" s="6" t="s">
        <v>384</v>
      </c>
      <c r="C84" s="6" t="s">
        <v>75</v>
      </c>
      <c r="D84" s="6"/>
    </row>
    <row r="85" spans="1:4" x14ac:dyDescent="0.3">
      <c r="A85" s="4" t="s">
        <v>176</v>
      </c>
      <c r="B85" s="6" t="s">
        <v>177</v>
      </c>
      <c r="C85" s="6" t="s">
        <v>75</v>
      </c>
      <c r="D85" s="6"/>
    </row>
    <row r="86" spans="1:4" x14ac:dyDescent="0.3">
      <c r="A86" s="4" t="s">
        <v>178</v>
      </c>
      <c r="B86" s="6" t="s">
        <v>385</v>
      </c>
      <c r="C86" s="6" t="s">
        <v>75</v>
      </c>
      <c r="D86" s="6"/>
    </row>
    <row r="87" spans="1:4" x14ac:dyDescent="0.3">
      <c r="A87" s="4" t="s">
        <v>180</v>
      </c>
      <c r="B87" s="6" t="s">
        <v>301</v>
      </c>
      <c r="C87" s="6" t="s">
        <v>75</v>
      </c>
      <c r="D87" s="6"/>
    </row>
    <row r="88" spans="1:4" x14ac:dyDescent="0.3">
      <c r="A88" s="4" t="s">
        <v>182</v>
      </c>
      <c r="B88" s="6" t="s">
        <v>303</v>
      </c>
      <c r="C88" s="6" t="s">
        <v>17</v>
      </c>
      <c r="D88" s="6"/>
    </row>
    <row r="89" spans="1:4" x14ac:dyDescent="0.3">
      <c r="A89" s="4" t="s">
        <v>184</v>
      </c>
      <c r="B89" s="6" t="s">
        <v>185</v>
      </c>
      <c r="C89" s="6" t="s">
        <v>61</v>
      </c>
      <c r="D89" s="6"/>
    </row>
    <row r="90" spans="1:4" x14ac:dyDescent="0.3">
      <c r="A90" s="4" t="s">
        <v>187</v>
      </c>
      <c r="B90" s="6" t="s">
        <v>386</v>
      </c>
      <c r="C90" s="6" t="s">
        <v>33</v>
      </c>
      <c r="D90" s="6"/>
    </row>
    <row r="91" spans="1:4" x14ac:dyDescent="0.3">
      <c r="A91" s="4" t="s">
        <v>191</v>
      </c>
      <c r="B91" s="6" t="s">
        <v>387</v>
      </c>
      <c r="C91" s="6" t="s">
        <v>75</v>
      </c>
      <c r="D91" s="6"/>
    </row>
    <row r="92" spans="1:4" x14ac:dyDescent="0.3">
      <c r="A92" s="4" t="s">
        <v>193</v>
      </c>
      <c r="B92" s="6" t="s">
        <v>388</v>
      </c>
      <c r="C92" s="6" t="s">
        <v>58</v>
      </c>
      <c r="D92" s="6"/>
    </row>
    <row r="93" spans="1:4" x14ac:dyDescent="0.3">
      <c r="A93" s="4" t="s">
        <v>197</v>
      </c>
      <c r="B93" s="6" t="s">
        <v>198</v>
      </c>
      <c r="C93" s="6" t="s">
        <v>61</v>
      </c>
      <c r="D93" s="6"/>
    </row>
    <row r="94" spans="1:4" x14ac:dyDescent="0.3">
      <c r="A94" s="4" t="s">
        <v>204</v>
      </c>
      <c r="B94" s="6" t="s">
        <v>310</v>
      </c>
      <c r="C94" s="6" t="s">
        <v>38</v>
      </c>
      <c r="D94" s="6"/>
    </row>
    <row r="95" spans="1:4" x14ac:dyDescent="0.3">
      <c r="A95" s="4" t="s">
        <v>201</v>
      </c>
      <c r="B95" s="6" t="s">
        <v>310</v>
      </c>
      <c r="C95" s="6" t="s">
        <v>330</v>
      </c>
      <c r="D95" s="6"/>
    </row>
    <row r="96" spans="1:4" x14ac:dyDescent="0.3">
      <c r="A96" s="4" t="s">
        <v>126</v>
      </c>
      <c r="B96" s="6" t="s">
        <v>389</v>
      </c>
      <c r="C96" s="6" t="s">
        <v>224</v>
      </c>
      <c r="D96" s="6"/>
    </row>
    <row r="97" spans="1:4" x14ac:dyDescent="0.3">
      <c r="A97" s="4" t="s">
        <v>129</v>
      </c>
      <c r="B97" s="6" t="s">
        <v>391</v>
      </c>
      <c r="C97" s="6" t="s">
        <v>134</v>
      </c>
      <c r="D97" s="6"/>
    </row>
    <row r="98" spans="1:4" x14ac:dyDescent="0.3">
      <c r="A98" s="4" t="s">
        <v>205</v>
      </c>
      <c r="B98" s="6" t="s">
        <v>312</v>
      </c>
      <c r="C98" s="6" t="s">
        <v>75</v>
      </c>
      <c r="D98" s="6"/>
    </row>
    <row r="99" spans="1:4" x14ac:dyDescent="0.3">
      <c r="A99" s="4" t="s">
        <v>130</v>
      </c>
      <c r="B99" s="6" t="s">
        <v>393</v>
      </c>
      <c r="C99" s="6" t="s">
        <v>401</v>
      </c>
      <c r="D99" s="6"/>
    </row>
    <row r="100" spans="1:4" x14ac:dyDescent="0.3">
      <c r="A100" s="4" t="s">
        <v>207</v>
      </c>
      <c r="B100" s="6" t="s">
        <v>208</v>
      </c>
      <c r="C100" s="6" t="s">
        <v>17</v>
      </c>
      <c r="D100" s="6"/>
    </row>
  </sheetData>
  <mergeCells count="1">
    <mergeCell ref="D3:E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Admin</vt:lpstr>
      <vt:lpstr>Titles</vt:lpstr>
      <vt:lpstr>Country Representation</vt:lpstr>
      <vt:lpstr>Line of Work</vt:lpstr>
      <vt:lpstr>Question 6</vt:lpstr>
      <vt:lpstr>Q1</vt:lpstr>
      <vt:lpstr>Q2</vt:lpstr>
      <vt:lpstr>Q3</vt:lpstr>
      <vt:lpstr>Question 3</vt:lpstr>
      <vt:lpstr>Question 7</vt:lpstr>
      <vt:lpstr>Q4</vt:lpstr>
      <vt:lpstr>Question 8</vt:lpstr>
      <vt:lpstr>Q5</vt:lpstr>
      <vt:lpstr>Question 9</vt:lpstr>
      <vt:lpstr>Q6</vt:lpstr>
      <vt:lpstr>Global Plot_Median</vt:lpstr>
      <vt:lpstr>Africa Scatter_Median</vt:lpstr>
      <vt:lpstr>Global Plot_Avg</vt:lpstr>
      <vt:lpstr>Africa Scatter_Avg</vt:lpstr>
      <vt:lpstr>Asia Scatter_Avg</vt:lpstr>
      <vt:lpstr>Asia Scatter_Median</vt:lpstr>
      <vt:lpstr>North America Scatter_Median</vt:lpstr>
      <vt:lpstr>South America Scatter_Median</vt:lpstr>
      <vt:lpstr>Europe Scatter_Median</vt:lpstr>
      <vt:lpstr>Pacific Scatter_Median</vt:lpstr>
      <vt:lpstr>Gradient</vt:lpstr>
      <vt:lpstr>Question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Duncan Miller</cp:lastModifiedBy>
  <dcterms:created xsi:type="dcterms:W3CDTF">2026-03-30T10:45:18Z</dcterms:created>
  <dcterms:modified xsi:type="dcterms:W3CDTF">2026-04-04T10:24:29Z</dcterms:modified>
</cp:coreProperties>
</file>